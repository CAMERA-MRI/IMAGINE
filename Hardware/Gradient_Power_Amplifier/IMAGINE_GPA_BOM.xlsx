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478\Desktop\LOW_FIELD_MRI\MRI gradient coils for low field Applications\Gradient CAD Files Rat SCANNER\"/>
    </mc:Choice>
  </mc:AlternateContent>
  <xr:revisionPtr revIDLastSave="0" documentId="13_ncr:1_{F52C310B-7CF8-44FC-87DF-4D734E576291}" xr6:coauthVersionLast="47" xr6:coauthVersionMax="47" xr10:uidLastSave="{00000000-0000-0000-0000-000000000000}"/>
  <bookViews>
    <workbookView xWindow="-120" yWindow="-120" windowWidth="29040" windowHeight="15720" xr2:uid="{97E73586-497B-4439-8C2D-B2A9A1A2D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6" i="1" l="1"/>
  <c r="F106" i="1" s="1"/>
  <c r="F108" i="1" s="1"/>
  <c r="A95" i="1"/>
  <c r="A96" i="1" s="1"/>
  <c r="A97" i="1" s="1"/>
  <c r="A98" i="1" s="1"/>
  <c r="A99" i="1" s="1"/>
  <c r="A100" i="1" s="1"/>
  <c r="A101" i="1" s="1"/>
  <c r="A102" i="1" s="1"/>
  <c r="A103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80" i="1" s="1"/>
  <c r="A81" i="1" s="1"/>
  <c r="A82" i="1" s="1"/>
  <c r="A83" i="1" s="1"/>
  <c r="A84" i="1" s="1"/>
</calcChain>
</file>

<file path=xl/sharedStrings.xml><?xml version="1.0" encoding="utf-8"?>
<sst xmlns="http://schemas.openxmlformats.org/spreadsheetml/2006/main" count="348" uniqueCount="232">
  <si>
    <t>Gradient Power Amplifier (FHDO-GPA) for image generation</t>
  </si>
  <si>
    <t>No.</t>
  </si>
  <si>
    <t>Part name</t>
  </si>
  <si>
    <t>Part Number</t>
  </si>
  <si>
    <t>Name or code on PCB board</t>
  </si>
  <si>
    <t>Quantity</t>
  </si>
  <si>
    <t>Total Cost (Canadian dollars)</t>
  </si>
  <si>
    <t>3D Printed
(Yes/No)</t>
  </si>
  <si>
    <t>Added to Assembly ✔/ 
Not yet added to the Assembly🗙</t>
  </si>
  <si>
    <t>Disassembled ✔/ 
Not yet Disassembled🗙</t>
  </si>
  <si>
    <t>Active components</t>
  </si>
  <si>
    <t>4 channel 16 bit ADC</t>
  </si>
  <si>
    <t>ADS8684IDBTR</t>
  </si>
  <si>
    <t>U5</t>
  </si>
  <si>
    <t>No</t>
  </si>
  <si>
    <t>RJ-45 connector</t>
  </si>
  <si>
    <t>609-146-ND</t>
  </si>
  <si>
    <t>X4</t>
  </si>
  <si>
    <t>Inverter</t>
  </si>
  <si>
    <t>MC74HC1G04DTT1GOSCT-ND</t>
  </si>
  <si>
    <t>U20</t>
  </si>
  <si>
    <t>Power supply connector</t>
  </si>
  <si>
    <t>WM 21 367-ND</t>
  </si>
  <si>
    <t>VCC</t>
  </si>
  <si>
    <t>Power supply connector plug</t>
  </si>
  <si>
    <t>WM-37-04-ND</t>
  </si>
  <si>
    <t>12 volt- voltage regulator</t>
  </si>
  <si>
    <t>497-7767-1-ND</t>
  </si>
  <si>
    <t>U7</t>
  </si>
  <si>
    <t>5 volt-voltage regulator</t>
  </si>
  <si>
    <t>497-2957-5-ND</t>
  </si>
  <si>
    <t>U21</t>
  </si>
  <si>
    <t>Heatsink</t>
  </si>
  <si>
    <t>HS-343-ND</t>
  </si>
  <si>
    <t>U100, U101, U102, U103</t>
  </si>
  <si>
    <t>2.5 volt reference</t>
  </si>
  <si>
    <t>296-39165-1-ND</t>
  </si>
  <si>
    <t>U22</t>
  </si>
  <si>
    <t>power amplifier</t>
  </si>
  <si>
    <t>OPA549T-ND</t>
  </si>
  <si>
    <t>U8, U9, U11, U12, U17, U18, U23, U24</t>
  </si>
  <si>
    <t>Coil connectors output of amplifier to grad coil</t>
  </si>
  <si>
    <t>WM-13112</t>
  </si>
  <si>
    <t>Coil connector plug</t>
  </si>
  <si>
    <t>WM 3701-ND</t>
  </si>
  <si>
    <t>Hexstandoff</t>
  </si>
  <si>
    <t>36-25522-ND</t>
  </si>
  <si>
    <t>SPI Isolator</t>
  </si>
  <si>
    <t>505-ADUM4150BRIZ-ND</t>
  </si>
  <si>
    <t>U2</t>
  </si>
  <si>
    <t>Hexnut</t>
  </si>
  <si>
    <t>732-126-38-ND</t>
  </si>
  <si>
    <t>DAC (Digital to analog converter) DAC80504RTER</t>
  </si>
  <si>
    <t>296-51043-1-ND</t>
  </si>
  <si>
    <t>Heatsink clip</t>
  </si>
  <si>
    <t>115000F00000G-ND</t>
  </si>
  <si>
    <t>contact pins</t>
  </si>
  <si>
    <t>WM 2503-ND</t>
  </si>
  <si>
    <t>Differential OP amp</t>
  </si>
  <si>
    <t>29630028-2-ND</t>
  </si>
  <si>
    <t>U10, U13, U19, U25</t>
  </si>
  <si>
    <t>Blue LED (LEDSMT1206 )</t>
  </si>
  <si>
    <t>732-4989-2-ND - Tape</t>
  </si>
  <si>
    <t>LED1</t>
  </si>
  <si>
    <t>passive components</t>
  </si>
  <si>
    <t>1 nF Feed back capacitors_C0805</t>
  </si>
  <si>
    <t>399-14546-1-ND</t>
  </si>
  <si>
    <t>C33, C34, C44, C43, C63, C64, C83, C84,</t>
  </si>
  <si>
    <t>1 micro farad _C0805 capacitors</t>
  </si>
  <si>
    <t>399-C0805C105J3RECAUTOTR-ND</t>
  </si>
  <si>
    <t>C4, C8, C9, C36, C39, C46, C49, C66, C69, C86, C89 , C21, C17, C26</t>
  </si>
  <si>
    <t>Resistor (300 ohm)_R0805</t>
  </si>
  <si>
    <t>738-RNCF0805BTE300RTR-ND</t>
  </si>
  <si>
    <t>R18</t>
  </si>
  <si>
    <t>5K Resistor</t>
  </si>
  <si>
    <t>804-Y40225K00000T9RTR-ND</t>
  </si>
  <si>
    <t>R37 and R38</t>
  </si>
  <si>
    <t>50K Resistor</t>
  </si>
  <si>
    <t>PLTT50.0KACT-ND</t>
  </si>
  <si>
    <t>R36 and R39</t>
  </si>
  <si>
    <t>0.22 microfarad Capacitor</t>
  </si>
  <si>
    <t>399-C0805C224K5RACTUTR-ND -</t>
  </si>
  <si>
    <t>C10</t>
  </si>
  <si>
    <t>22 microfarad capacitor</t>
  </si>
  <si>
    <t>4587-C0805B226M025TTR-ND</t>
  </si>
  <si>
    <t>C18</t>
  </si>
  <si>
    <t>0.1 microfarad capacitor</t>
  </si>
  <si>
    <t>399-C0805C104K3RACTUTR-ND</t>
  </si>
  <si>
    <t>C42, C52, C72, C92</t>
  </si>
  <si>
    <t>C19,C31, C28,C32, C24</t>
  </si>
  <si>
    <t>polar capacitors (100 microfarad)</t>
  </si>
  <si>
    <t>153CLV-1010 (493-6420-1-ND)</t>
  </si>
  <si>
    <t>C5, C6, C7</t>
  </si>
  <si>
    <t>MA03-1 (pin header)</t>
  </si>
  <si>
    <t>2057-PH2-08-UA-ND</t>
  </si>
  <si>
    <t>SV2</t>
  </si>
  <si>
    <t>MA04-2 (pin header2)</t>
  </si>
  <si>
    <t>SV1, SV3, SV4</t>
  </si>
  <si>
    <t>10K Resistor (M0805)</t>
  </si>
  <si>
    <t>2019-RN73R2ATTD1002B10TR-ND</t>
  </si>
  <si>
    <t>R27, R69, R97</t>
  </si>
  <si>
    <t>10K Feed back Resistor (R0805)</t>
  </si>
  <si>
    <t>R2, R3, R15, R16, R28, R29, R30, R36, R38, R40, R42, R43, R70, R71, R72, R98, R99, R100, R41?,R44? R26? R27? R69? R68? R96? R97?</t>
  </si>
  <si>
    <t>10nF Capacitor</t>
  </si>
  <si>
    <t>399-C0805C103J3GECAUTOTR-ND</t>
  </si>
  <si>
    <t>C45</t>
  </si>
  <si>
    <t>10 microfarad capacitors</t>
  </si>
  <si>
    <t>490-GRM21BZ71E106KE15LTR-ND</t>
  </si>
  <si>
    <t>C37, C38, C40, C41, C47, C48, C50, C51, C67, C68, C70, C71, C87, C88, C90, C91, C5, C25, C7,C6</t>
  </si>
  <si>
    <t>150 picofarad</t>
  </si>
  <si>
    <t>399-C0805C151J2GACTUTR-ND</t>
  </si>
  <si>
    <t>C35, C65, C85</t>
  </si>
  <si>
    <t>1 KIllo ohm R0805</t>
  </si>
  <si>
    <t>RNCF0805TKY1K00TR-ND</t>
  </si>
  <si>
    <t>R37,R39</t>
  </si>
  <si>
    <t>1 nanofarad</t>
  </si>
  <si>
    <t>C1, C2, C3, C19, C28, C31, C32, C43, C44</t>
  </si>
  <si>
    <t>20 Ohm resistor</t>
  </si>
  <si>
    <t>A110380TR-ND</t>
  </si>
  <si>
    <t>R1, R17, R20, R21</t>
  </si>
  <si>
    <t>200m 25W DPAK (shunt resistor)</t>
  </si>
  <si>
    <t>MP725-0.20-FTR-ND</t>
  </si>
  <si>
    <t>R35, R49, R77, R105</t>
  </si>
  <si>
    <t>Resistor 22 K R0805</t>
  </si>
  <si>
    <t>408-1636-2-ND</t>
  </si>
  <si>
    <t>R26, R68, R96</t>
  </si>
  <si>
    <t>Resistor 3.3K, R0805</t>
  </si>
  <si>
    <t>408-1639-2-ND</t>
  </si>
  <si>
    <t>R41, R44</t>
  </si>
  <si>
    <t>Capacitor 22 microfarad, total ELKO</t>
  </si>
  <si>
    <t>399-18831-1-ND</t>
  </si>
  <si>
    <t>C20, C22, C23, C30</t>
  </si>
  <si>
    <t>2K resistor R0805</t>
  </si>
  <si>
    <t>738-RNCF0805BTC2K00TR-ND</t>
  </si>
  <si>
    <t>R31, R32, R33, R34, R45, R46, R47, R48, R73, R74, R75, R76, R101, R102, R103, R104</t>
  </si>
  <si>
    <t>5.1K resistor R0805</t>
  </si>
  <si>
    <t>P5.1KDATR-ND</t>
  </si>
  <si>
    <t>R23, R25, R65, R67, R93, R95</t>
  </si>
  <si>
    <t>51K resistor R0805</t>
  </si>
  <si>
    <t>P51KDATR-ND</t>
  </si>
  <si>
    <t>R22, R24, R64, R66, R92, R94</t>
  </si>
  <si>
    <t>FHDO GPA board</t>
  </si>
  <si>
    <t>JLCPCB</t>
  </si>
  <si>
    <t>Cables and connectors</t>
  </si>
  <si>
    <t>pinheaders</t>
  </si>
  <si>
    <t>2057-PH1-10-UA-ND</t>
  </si>
  <si>
    <t>captone tape</t>
  </si>
  <si>
    <t>1188-KAPTON-TAPE10MM-ND</t>
  </si>
  <si>
    <t>splice connector 18-22 awg crimp</t>
  </si>
  <si>
    <t>WM13851-ND</t>
  </si>
  <si>
    <t>20 AWG data cable (16 feet)</t>
  </si>
  <si>
    <t>4903-CF211-05-02-02-DS-ND</t>
  </si>
  <si>
    <t>16-14 Nylon insulated connectors</t>
  </si>
  <si>
    <t>314-AI-50086N-ND</t>
  </si>
  <si>
    <t>CONN BARRIER STRIP 4CIRC 0.375"</t>
  </si>
  <si>
    <t>WM5761-ND</t>
  </si>
  <si>
    <t>JUMPER BARRIER BLK 2POS SPADE</t>
  </si>
  <si>
    <t>WM4244-ND</t>
  </si>
  <si>
    <t>Gradient filter circuit</t>
  </si>
  <si>
    <t>CODACA CPER3231-101MC (Inductor for filter)</t>
  </si>
  <si>
    <t>4044-CPER3231-101MC-ND</t>
  </si>
  <si>
    <t>Filter capacitor</t>
  </si>
  <si>
    <t>490-GCJ55DR7LV474KW01KTR-ND</t>
  </si>
  <si>
    <t>filter bread board</t>
  </si>
  <si>
    <t>FILTER BOARD</t>
  </si>
  <si>
    <t>Switching power supply for GPA</t>
  </si>
  <si>
    <t>Switching DC power supply for GPA</t>
  </si>
  <si>
    <t>TekPower TP1560E</t>
  </si>
  <si>
    <t>Gradient Coils</t>
  </si>
  <si>
    <t>Gradient former 3D print X gradient</t>
  </si>
  <si>
    <t>PLA Basic filament (light green)</t>
  </si>
  <si>
    <t>approximately 90.38 gram</t>
  </si>
  <si>
    <t>Yes</t>
  </si>
  <si>
    <t>Gradient former 3D print Y gradient</t>
  </si>
  <si>
    <t>PLA Basic filament</t>
  </si>
  <si>
    <t>approximatley 118.9 gram</t>
  </si>
  <si>
    <t>Gradient former 3D print Z gradient</t>
  </si>
  <si>
    <t>approximatley 99.7 gram</t>
  </si>
  <si>
    <t>RF Coil holder or RF coil base</t>
  </si>
  <si>
    <t>approximately 20.63 gram</t>
  </si>
  <si>
    <t>Gradient filter casing cover</t>
  </si>
  <si>
    <t>approximatley 59.2 gram</t>
  </si>
  <si>
    <t>Gradient filter casing</t>
  </si>
  <si>
    <t>approximately 61 gram</t>
  </si>
  <si>
    <t>Gradient wires for X gradient</t>
  </si>
  <si>
    <t xml:space="preserve">Enamelled copper wire </t>
  </si>
  <si>
    <t>approximatly 350 inch</t>
  </si>
  <si>
    <t>Gradient wires for Y gradient</t>
  </si>
  <si>
    <t>Gradient wires for Z gradient</t>
  </si>
  <si>
    <t>phantoms</t>
  </si>
  <si>
    <t>Cylindrical phantom</t>
  </si>
  <si>
    <t>approximately 37.6 gram</t>
  </si>
  <si>
    <t>Cylindrical phantom with two cylidrical compartments</t>
  </si>
  <si>
    <t>approximately 55.17 gram</t>
  </si>
  <si>
    <t>Volume of Olive oil (cylindrical phantom)</t>
  </si>
  <si>
    <t>Olive oil solution</t>
  </si>
  <si>
    <t>approximatley 54 ml</t>
  </si>
  <si>
    <t>Volume of olive oil (two Compartment cylindircal)</t>
  </si>
  <si>
    <t xml:space="preserve">Olive oil solution </t>
  </si>
  <si>
    <t>approximetly 21 ml</t>
  </si>
  <si>
    <t>Strawberry</t>
  </si>
  <si>
    <t>supermarket</t>
  </si>
  <si>
    <t>Subtotal</t>
  </si>
  <si>
    <t>Gradient Power Amplifier Soldering and testing equipment for image generation</t>
  </si>
  <si>
    <t>current sensor and Arduino for testing</t>
  </si>
  <si>
    <t>current sensor</t>
  </si>
  <si>
    <t>CP6220-EU-ND</t>
  </si>
  <si>
    <t>Arduino Uno</t>
  </si>
  <si>
    <t>Arduino mega 2560</t>
  </si>
  <si>
    <t>Soldering Euipment for Self assembly</t>
  </si>
  <si>
    <t>soldering station</t>
  </si>
  <si>
    <t>Weller Soldering Iron</t>
  </si>
  <si>
    <t>Soldering tips</t>
  </si>
  <si>
    <t>Soldering tips (both conical and chisel tips)</t>
  </si>
  <si>
    <t>soldering flux</t>
  </si>
  <si>
    <t>Soldering flux</t>
  </si>
  <si>
    <t>solder wire</t>
  </si>
  <si>
    <t>leaded solder wire thin</t>
  </si>
  <si>
    <t>Solder wire</t>
  </si>
  <si>
    <t>Leaded solder wire thick</t>
  </si>
  <si>
    <t>Solder cleaning</t>
  </si>
  <si>
    <t>Solder cleaning (SRA soldering)</t>
  </si>
  <si>
    <t>Alcohol for postsolder cleaning</t>
  </si>
  <si>
    <t>Isopropyl alcohol</t>
  </si>
  <si>
    <t>Brush</t>
  </si>
  <si>
    <t>Brush (acid or flux brush)</t>
  </si>
  <si>
    <t>magnifier</t>
  </si>
  <si>
    <t>Magnifier</t>
  </si>
  <si>
    <t>soldering heat guns</t>
  </si>
  <si>
    <t>Soldering heat guns</t>
  </si>
  <si>
    <t>Grand total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</si>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</sst>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3D3D3D"/>
      <name val="Times New Roman"/>
      <family val="1"/>
    </font>
    <font>
      <sz val="11"/>
      <color theme="1"/>
      <name val="Times New Roman"/>
      <family val="1"/>
    </font>
    <font>
      <sz val="11"/>
      <color rgb="FF222222"/>
      <name val="Times New Roman"/>
      <family val="1"/>
    </font>
    <font>
      <sz val="11"/>
      <color rgb="FF242021"/>
      <name val="Times New Roman"/>
      <family val="1"/>
    </font>
    <font>
      <sz val="10"/>
      <color rgb="FF0A53A8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2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8" fontId="3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8" fontId="2" fillId="6" borderId="1" xfId="0" applyNumberFormat="1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11" fillId="0" borderId="1" xfId="1" applyFont="1" applyBorder="1" applyAlignment="1">
      <alignment wrapText="1"/>
    </xf>
    <xf numFmtId="0" fontId="11" fillId="5" borderId="1" xfId="1" applyFont="1" applyFill="1" applyBorder="1" applyAlignment="1">
      <alignment wrapText="1"/>
    </xf>
    <xf numFmtId="0" fontId="11" fillId="5" borderId="1" xfId="1" applyFont="1" applyFill="1" applyBorder="1" applyAlignment="1">
      <alignment vertical="top" wrapText="1"/>
    </xf>
    <xf numFmtId="0" fontId="11" fillId="0" borderId="1" xfId="1" applyFont="1" applyBorder="1" applyAlignment="1">
      <alignment vertical="center"/>
    </xf>
    <xf numFmtId="0" fontId="3" fillId="6" borderId="1" xfId="0" applyFont="1" applyFill="1" applyBorder="1" applyAlignment="1">
      <alignment wrapText="1"/>
    </xf>
    <xf numFmtId="0" fontId="5" fillId="0" borderId="0" xfId="0" applyFont="1"/>
    <xf numFmtId="0" fontId="10" fillId="4" borderId="5" xfId="0" applyFont="1" applyFill="1" applyBorder="1" applyAlignment="1">
      <alignment horizontal="center" wrapText="1"/>
    </xf>
    <xf numFmtId="0" fontId="10" fillId="4" borderId="6" xfId="0" applyFont="1" applyFill="1" applyBorder="1" applyAlignment="1">
      <alignment horizontal="center" wrapText="1"/>
    </xf>
    <xf numFmtId="0" fontId="10" fillId="4" borderId="7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 wrapText="1"/>
    </xf>
    <xf numFmtId="0" fontId="10" fillId="4" borderId="9" xfId="0" applyFont="1" applyFill="1" applyBorder="1" applyAlignment="1">
      <alignment horizontal="center" wrapText="1"/>
    </xf>
    <xf numFmtId="0" fontId="10" fillId="4" borderId="10" xfId="0" applyFont="1" applyFill="1" applyBorder="1" applyAlignment="1">
      <alignment horizont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a/en/products/detail/kemet/C0805C224K5RACTU/754753" TargetMode="External"/><Relationship Id="rId21" Type="http://schemas.openxmlformats.org/officeDocument/2006/relationships/hyperlink" Target="https://www.digikey.ca/en/products/detail/kemet/C0805C102J5GALTU/2211672" TargetMode="External"/><Relationship Id="rId42" Type="http://schemas.openxmlformats.org/officeDocument/2006/relationships/hyperlink" Target="https://www.digikey.ca/en/products/detail/susumu/RG2012L-332-L-T05/3738064" TargetMode="External"/><Relationship Id="rId47" Type="http://schemas.openxmlformats.org/officeDocument/2006/relationships/hyperlink" Target="https://jlcpcb.com/user-center/orders/" TargetMode="External"/><Relationship Id="rId63" Type="http://schemas.openxmlformats.org/officeDocument/2006/relationships/hyperlink" Target="https://ca.store.bambulab.com/products/pla-basic-filament?variant=541209412732915753" TargetMode="External"/><Relationship Id="rId68" Type="http://schemas.openxmlformats.org/officeDocument/2006/relationships/hyperlink" Target="https://a.co/d/07C41tNc" TargetMode="External"/><Relationship Id="rId84" Type="http://schemas.openxmlformats.org/officeDocument/2006/relationships/hyperlink" Target="https://a.co/d/01ONxOAg" TargetMode="External"/><Relationship Id="rId16" Type="http://schemas.openxmlformats.org/officeDocument/2006/relationships/hyperlink" Target="https://www.digikey.ca/en/products/detail/texas-instruments/DAC80504RTER/9658052?s=N4IgTCBcDa4JwDYC0BWAjABgCwGYlqQDkAREAXQF8g" TargetMode="External"/><Relationship Id="rId11" Type="http://schemas.openxmlformats.org/officeDocument/2006/relationships/hyperlink" Target="https://www.digikey.ca/en/products/detail/molex/0026013115/4119889?s=N4IgTCBcDaIOoFkC0BGAzClEC6BfIA" TargetMode="External"/><Relationship Id="rId32" Type="http://schemas.openxmlformats.org/officeDocument/2006/relationships/hyperlink" Target="https://www.digikey.ca/en/products/detail/koa-speer-electronics-inc/RN73R2ATTD1002B10/10023060" TargetMode="External"/><Relationship Id="rId37" Type="http://schemas.openxmlformats.org/officeDocument/2006/relationships/hyperlink" Target="https://www.digikey.ca/en/products/detail/stackpole-electronics-inc/RNCF0805TKY1K00/2269700" TargetMode="External"/><Relationship Id="rId53" Type="http://schemas.openxmlformats.org/officeDocument/2006/relationships/hyperlink" Target="https://www.digikey.ca/en/products/detail/molex/0387700104/362488" TargetMode="External"/><Relationship Id="rId58" Type="http://schemas.openxmlformats.org/officeDocument/2006/relationships/hyperlink" Target="https://kaito.us/products/tekpower-tp1560e-dc-adjustable-switching-power-supply-15v-60a-digital-display?srsltid=AfmBOoqBXjUI9ggw7kVD4rQpmDBeXd40KrMPZ5c2QOkH-Be9BgI1Fe7g" TargetMode="External"/><Relationship Id="rId74" Type="http://schemas.openxmlformats.org/officeDocument/2006/relationships/hyperlink" Target="https://a.co/d/0icU8Mkl" TargetMode="External"/><Relationship Id="rId79" Type="http://schemas.openxmlformats.org/officeDocument/2006/relationships/hyperlink" Target="https://a.co/d/0fMXR8Hr" TargetMode="External"/><Relationship Id="rId5" Type="http://schemas.openxmlformats.org/officeDocument/2006/relationships/hyperlink" Target="https://www.digikey.ca/en/products/detail/molex/0039012100/61385?s=N4IgTCBcDaIOoFkC0BmA7EgDAFiQOQBEQBdAXyA" TargetMode="External"/><Relationship Id="rId61" Type="http://schemas.openxmlformats.org/officeDocument/2006/relationships/hyperlink" Target="https://ca.store.bambulab.com/products/pla-basic-filament?variant=541209412732915753" TargetMode="External"/><Relationship Id="rId82" Type="http://schemas.openxmlformats.org/officeDocument/2006/relationships/hyperlink" Target="https://a.co/d/08ZCUPU4" TargetMode="External"/><Relationship Id="rId19" Type="http://schemas.openxmlformats.org/officeDocument/2006/relationships/hyperlink" Target="https://www.digikey.ca/en/products/detail/texas-instruments/INA149AIDR/2795693?s=N4IgTCBcDa4JwDYDMAGFYAcBaMWByAIiALoC%2BQA" TargetMode="External"/><Relationship Id="rId14" Type="http://schemas.openxmlformats.org/officeDocument/2006/relationships/hyperlink" Target="https://www.digikey.ca/en/products/detail/analog-devices-inc/ADUM4150BRIZ/5031784" TargetMode="External"/><Relationship Id="rId22" Type="http://schemas.openxmlformats.org/officeDocument/2006/relationships/hyperlink" Target="https://www.digikey.ca/en/products/detail/kemet/C0805C105J3RECAUTO/8646591" TargetMode="External"/><Relationship Id="rId27" Type="http://schemas.openxmlformats.org/officeDocument/2006/relationships/hyperlink" Target="https://www.digikey.ca/en/products/detail/holy-stone-enterprise-co-ltd/C0805B226M025T/16895038" TargetMode="External"/><Relationship Id="rId30" Type="http://schemas.openxmlformats.org/officeDocument/2006/relationships/hyperlink" Target="https://www.digikey.ca/en/products/detail/adam-tech/PH2-08-UA/9830443" TargetMode="External"/><Relationship Id="rId35" Type="http://schemas.openxmlformats.org/officeDocument/2006/relationships/hyperlink" Target="https://www.digikey.ca/en/products/detail/murata-electronics/GRM21BZ71E106KE15L/13904911" TargetMode="External"/><Relationship Id="rId43" Type="http://schemas.openxmlformats.org/officeDocument/2006/relationships/hyperlink" Target="https://www.digikey.ca/en/products/detail/kemet/T495C226K025ATE275/9642245?s=N4IgTCBcDaIMwE4EFoCMAOddVuQOQBEQBdAXyA" TargetMode="External"/><Relationship Id="rId48" Type="http://schemas.openxmlformats.org/officeDocument/2006/relationships/hyperlink" Target="https://www.digikey.ca/en/products/detail/adam-tech/PH1-10-UA/9830653" TargetMode="External"/><Relationship Id="rId56" Type="http://schemas.openxmlformats.org/officeDocument/2006/relationships/hyperlink" Target="https://www.digikey.ca/en/products/detail/murata-electronics/GCJ55DR7LV474KW01K/16821311?s=N4IgTCBcDaICwE4AMBaA4gYQFIFYcBEAlAdgBkA1OYuAaQHUkBGGjAFRQDl8QBdAXyA" TargetMode="External"/><Relationship Id="rId64" Type="http://schemas.openxmlformats.org/officeDocument/2006/relationships/hyperlink" Target="https://ca.store.bambulab.com/products/pla-basic-filament?variant=541209412732915753" TargetMode="External"/><Relationship Id="rId69" Type="http://schemas.openxmlformats.org/officeDocument/2006/relationships/hyperlink" Target="https://ca.store.bambulab.com/products/pla-basic-filament?variant=541209412732915753" TargetMode="External"/><Relationship Id="rId77" Type="http://schemas.openxmlformats.org/officeDocument/2006/relationships/hyperlink" Target="https://www.digikey.ca/en/products/detail/chip-quik-inc/SMD291NL/1160000" TargetMode="External"/><Relationship Id="rId8" Type="http://schemas.openxmlformats.org/officeDocument/2006/relationships/hyperlink" Target="https://www.digikey.ca/en/products/detail/boyd-laconia-llc/530102B00150G/1216352?s=N4IgTCBcDaIBIGUC0BmALCpA5AIiAugL5A" TargetMode="External"/><Relationship Id="rId51" Type="http://schemas.openxmlformats.org/officeDocument/2006/relationships/hyperlink" Target="https://www.digikey.ca/en/products/detail/igus/CF211-05-02-02/21280716" TargetMode="External"/><Relationship Id="rId72" Type="http://schemas.openxmlformats.org/officeDocument/2006/relationships/hyperlink" Target="https://www.walmart.ca/en/ip/Gallo-Extra-Virgin-Olive-Oil-1L/876804?selectedSellerId=0&amp;wl13=3094" TargetMode="External"/><Relationship Id="rId80" Type="http://schemas.openxmlformats.org/officeDocument/2006/relationships/hyperlink" Target="https://www.digikey.ca/en/products/detail/sra-soldering-products/AOREF98B/10709771?gclsrc=aw.ds&amp;gad_source=1&amp;gad_campaignid=23152963569&amp;gbraid=0AAAAADrbLlhv9NVBswAKfsUSwBKRciEFR&amp;gclid=Cj0KCQjwteTUBhD4ARIsAEYjs3rJ1Rc9tLFoMxS2tsgjO-fsniVe4x4FxG_MZTTRhzIWpcS8_SZ9pRQaAmLPEALw_wcB" TargetMode="External"/><Relationship Id="rId3" Type="http://schemas.openxmlformats.org/officeDocument/2006/relationships/hyperlink" Target="https://www.digikey.ca/en/products/detail/onsemi/MC74VHC1G04DBVT1G/10064694?s=N4IgTCBcDaILIGEDsAWAagCQQRgOIAYUARAITQBU8QBdAXyA" TargetMode="External"/><Relationship Id="rId12" Type="http://schemas.openxmlformats.org/officeDocument/2006/relationships/hyperlink" Target="https://www.digikey.ca/en/products/detail/molex/0039012040/61376?s=N4IgTCBcDaIOoFkAEBmA7ABgIwFoByAIiALoC%2BQA" TargetMode="External"/><Relationship Id="rId17" Type="http://schemas.openxmlformats.org/officeDocument/2006/relationships/hyperlink" Target="https://www.digikey.ca/en/products/detail/boyd-laconia-llc/115000F00000G/1625727?s=N4IgTCBcDaIIxwKwAZUDFWYOIFoByAIiALoC%2BQA" TargetMode="External"/><Relationship Id="rId25" Type="http://schemas.openxmlformats.org/officeDocument/2006/relationships/hyperlink" Target="https://www.digikey.ca/en/products/detail/vishay-dale-thin-film/PLTT0805Z5002QGT5/2552100" TargetMode="External"/><Relationship Id="rId33" Type="http://schemas.openxmlformats.org/officeDocument/2006/relationships/hyperlink" Target="https://www.digikey.ca/en/products/detail/koa-speer-electronics-inc/RN73R2ATTD1002B10/10023060" TargetMode="External"/><Relationship Id="rId38" Type="http://schemas.openxmlformats.org/officeDocument/2006/relationships/hyperlink" Target="https://www.digikey.ca/en/products/detail/kemet/C0805C102J5GALTU/2211672" TargetMode="External"/><Relationship Id="rId46" Type="http://schemas.openxmlformats.org/officeDocument/2006/relationships/hyperlink" Target="https://www.digikey.ca/en/products/detail/panasonic-industry/ERA-6AEB513V/1465790" TargetMode="External"/><Relationship Id="rId59" Type="http://schemas.openxmlformats.org/officeDocument/2006/relationships/hyperlink" Target="https://ca.store.bambulab.com/products/pla-basic-filament?variant=541209412732915753" TargetMode="External"/><Relationship Id="rId67" Type="http://schemas.openxmlformats.org/officeDocument/2006/relationships/hyperlink" Target="https://a.co/d/07C41tNc" TargetMode="External"/><Relationship Id="rId20" Type="http://schemas.openxmlformats.org/officeDocument/2006/relationships/hyperlink" Target="https://www.digikey.ca/en/products/detail/w%C3%BCrth-elektronik/150120BS75000/4489933" TargetMode="External"/><Relationship Id="rId41" Type="http://schemas.openxmlformats.org/officeDocument/2006/relationships/hyperlink" Target="https://www.digikey.ca/en/products/detail/susumu/RG2012L-223-L-T05/3738069" TargetMode="External"/><Relationship Id="rId54" Type="http://schemas.openxmlformats.org/officeDocument/2006/relationships/hyperlink" Target="https://www.digikey.ca/en/products/detail/molex/0387236502/2424514" TargetMode="External"/><Relationship Id="rId62" Type="http://schemas.openxmlformats.org/officeDocument/2006/relationships/hyperlink" Target="https://ca.store.bambulab.com/products/pla-basic-filament?variant=541209412732915753" TargetMode="External"/><Relationship Id="rId70" Type="http://schemas.openxmlformats.org/officeDocument/2006/relationships/hyperlink" Target="https://ca.store.bambulab.com/products/pla-basic-filament?variant=541209412732915753" TargetMode="External"/><Relationship Id="rId75" Type="http://schemas.openxmlformats.org/officeDocument/2006/relationships/hyperlink" Target="https://a.co/d/08kxdTzG" TargetMode="External"/><Relationship Id="rId83" Type="http://schemas.openxmlformats.org/officeDocument/2006/relationships/hyperlink" Target="https://a.co/d/0htuEpDs" TargetMode="External"/><Relationship Id="rId1" Type="http://schemas.openxmlformats.org/officeDocument/2006/relationships/hyperlink" Target="https://www.digikey.ca/en/products/detail/texas-instruments/ADS8684IDBTR/5012064?s=N4IgTCBcDa4JwDYC0BmOAOA7AViQRiQDkARAAhAF0BfIA" TargetMode="External"/><Relationship Id="rId6" Type="http://schemas.openxmlformats.org/officeDocument/2006/relationships/hyperlink" Target="https://www.digikey.ca/en/products/detail/stmicroelectronics/L78L12ABD-TR/1038284?s=N4IgTCBcDaICwE4DsBaJSBsqCMKByAIiALoC%2BQA" TargetMode="External"/><Relationship Id="rId15" Type="http://schemas.openxmlformats.org/officeDocument/2006/relationships/hyperlink" Target="https://www.digikey.ca/en/products/detail/w%C3%BCrth-elektronik/709940400/9488342?s=N4IgTCBcDaIOwGYwFoCMYBsyEA5kDkAREAXQF8g" TargetMode="External"/><Relationship Id="rId23" Type="http://schemas.openxmlformats.org/officeDocument/2006/relationships/hyperlink" Target="https://www.digikey.ca/en/products/detail/stackpole-electronics-inc/RNCF0805BTE300R/6239871" TargetMode="External"/><Relationship Id="rId28" Type="http://schemas.openxmlformats.org/officeDocument/2006/relationships/hyperlink" Target="https://www.digikey.ca/en/products/detail/kemet/C0805C104K3RACTU/411167" TargetMode="External"/><Relationship Id="rId36" Type="http://schemas.openxmlformats.org/officeDocument/2006/relationships/hyperlink" Target="https://www.digikey.ca/en/products/detail/kemet/C0805C151J2GACTU/2211941" TargetMode="External"/><Relationship Id="rId49" Type="http://schemas.openxmlformats.org/officeDocument/2006/relationships/hyperlink" Target="https://www.digikey.ca/en/products/detail/olimex-ltd/KAPTON-TAPE10MM/19204468" TargetMode="External"/><Relationship Id="rId57" Type="http://schemas.openxmlformats.org/officeDocument/2006/relationships/hyperlink" Target="https://www.amazon.ca/LampVPath-Prototype-Breadboard-Universal-Printed/dp/B07Y3NYX9C/ref=sr_1_16?dib=eyJ2IjoiMSJ9.G7lbTVqdpq49G-MgIwNTk_ox2l2O0JpFHTvdrXjsdtdREwYobzj_z3s7QvXdZB5vwngPyNK4mFuEKqlNkxCLPITzBDRkKB7oprzfI_gIbGTHVJZxAqsxaYD0NG3Bp4gFA5ZKvxlPYEllnvPscVyTD0YLDIo8alcMz8gB95k7eYMZ-doAUnQ8JhZAgia_e025aZmPoV1lM_L1xIxQvWkYIopDrU2MWOvMQlK8s7bd2NERaKsJkVvfHaCbA3dQfFYafxWfSNOSRvdKf6J1JKxc7MENTg35jsAku1sZZPbaSwQ.q-CxShBdy5kJ5JTtAk7f4NNZMXdRs4bKjB9Tr8YP-2E&amp;dib_tag=se&amp;gad_source=1&amp;hvadid=506547182299&amp;hvdev=c&amp;hvexpln=0&amp;hvlocphy=9000411&amp;hvnetw=g&amp;hvocijid=13185368353273938600--&amp;hvqmt=b&amp;hvrand=13185368353273938600&amp;hvtargid=kwd-1087978368&amp;hydadcr=27412_10624843&amp;keywords=pcb%2Bprototype%2Bboard&amp;mcid=aaac9432017233b99e3190ec728b915f&amp;qid=1779727565&amp;sr=8-16&amp;th=1" TargetMode="External"/><Relationship Id="rId10" Type="http://schemas.openxmlformats.org/officeDocument/2006/relationships/hyperlink" Target="https://www.digikey.ca/en/products/detail/texas-instruments/OPA549T/307860?s=N4IgTCBcDaIPIAUCCBWALATgCoFoByAIiALoC%2BQA" TargetMode="External"/><Relationship Id="rId31" Type="http://schemas.openxmlformats.org/officeDocument/2006/relationships/hyperlink" Target="https://www.digikey.ca/en/products/detail/adam-tech/PH2-08-UA/9830443" TargetMode="External"/><Relationship Id="rId44" Type="http://schemas.openxmlformats.org/officeDocument/2006/relationships/hyperlink" Target="https://www.digikey.ca/en/products/detail/stackpole-electronics-inc/RNCF0805BTC2K00/1709144" TargetMode="External"/><Relationship Id="rId52" Type="http://schemas.openxmlformats.org/officeDocument/2006/relationships/hyperlink" Target="https://www.digikey.ca/en/products/detail/mueller-electric-co/AI-50086N/17762643" TargetMode="External"/><Relationship Id="rId60" Type="http://schemas.openxmlformats.org/officeDocument/2006/relationships/hyperlink" Target="https://ca.store.bambulab.com/products/pla-basic-filament?variant=541209412732915753" TargetMode="External"/><Relationship Id="rId65" Type="http://schemas.openxmlformats.org/officeDocument/2006/relationships/hyperlink" Target="https://ca.store.bambulab.com/products/pla-basic-filament?variant=541209412732915753" TargetMode="External"/><Relationship Id="rId73" Type="http://schemas.openxmlformats.org/officeDocument/2006/relationships/hyperlink" Target="https://www.digikey.com/en/products/detail/cal-test-electronics/CP6220-EU/5028258" TargetMode="External"/><Relationship Id="rId78" Type="http://schemas.openxmlformats.org/officeDocument/2006/relationships/hyperlink" Target="https://a.co/d/01XRYspq" TargetMode="External"/><Relationship Id="rId81" Type="http://schemas.openxmlformats.org/officeDocument/2006/relationships/hyperlink" Target="https://a.co/d/03NCBmEE" TargetMode="External"/><Relationship Id="rId4" Type="http://schemas.openxmlformats.org/officeDocument/2006/relationships/hyperlink" Target="https://www.digikey.ca/en/products/detail/molex/0039301102/930336?s=N4IgTCBcDaIOoFkAEYCMSDMA2A7AWgDkAREAXQF8g" TargetMode="External"/><Relationship Id="rId9" Type="http://schemas.openxmlformats.org/officeDocument/2006/relationships/hyperlink" Target="https://www.digikey.ca/en/products/detail/texas-instruments/REF5025AIDR/1900163?s=N4IgTCBcDa4JwDYC0BmOBGBBWJ6kDkAREAXQF8g" TargetMode="External"/><Relationship Id="rId13" Type="http://schemas.openxmlformats.org/officeDocument/2006/relationships/hyperlink" Target="https://www.digikey.ca/en/products/detail/keystone-electronics/25522/1532195?s=N4IgTCBcDaIMwDYC0YCsqxiQOQCIgF0BfIA" TargetMode="External"/><Relationship Id="rId18" Type="http://schemas.openxmlformats.org/officeDocument/2006/relationships/hyperlink" Target="https://www.digikey.ca/en/products/detail/molex/0039000047/61454?s=N4IgTCBcDaIOoFkAEYCsAGAzAWgHIBEQBdAXyA" TargetMode="External"/><Relationship Id="rId39" Type="http://schemas.openxmlformats.org/officeDocument/2006/relationships/hyperlink" Target="https://www.digikey.ca/en/products/detail/te-connectivity-passive-product/5-1625868-6/4033848" TargetMode="External"/><Relationship Id="rId34" Type="http://schemas.openxmlformats.org/officeDocument/2006/relationships/hyperlink" Target="https://www.digikey.ca/en/products/detail/kemet/C0805C103J3GECAUTO/8647361" TargetMode="External"/><Relationship Id="rId50" Type="http://schemas.openxmlformats.org/officeDocument/2006/relationships/hyperlink" Target="https://www.digikey.ca/en/products/detail/molex/0192030384/3187479" TargetMode="External"/><Relationship Id="rId55" Type="http://schemas.openxmlformats.org/officeDocument/2006/relationships/hyperlink" Target="https://www.digikey.ca/en/products/detail/codaca/CPER3231-101MC/16516449?s=N4IgTCBcDaICwAY5wLQGEAKBRASgZjDwEYUiEiBZNFAOQBEQBdAXyA" TargetMode="External"/><Relationship Id="rId76" Type="http://schemas.openxmlformats.org/officeDocument/2006/relationships/hyperlink" Target="https://a.co/d/00r4TfBN" TargetMode="External"/><Relationship Id="rId7" Type="http://schemas.openxmlformats.org/officeDocument/2006/relationships/hyperlink" Target="https://www.digikey.ca/en/products/detail/stmicroelectronics/L78M05CV/634721" TargetMode="External"/><Relationship Id="rId71" Type="http://schemas.openxmlformats.org/officeDocument/2006/relationships/hyperlink" Target="https://www.walmart.ca/en/ip/Gallo-Extra-Virgin-Olive-Oil-1L/876804?selectedSellerId=0&amp;wl13=3094" TargetMode="External"/><Relationship Id="rId2" Type="http://schemas.openxmlformats.org/officeDocument/2006/relationships/hyperlink" Target="https://www.digikey.ca/en/products/detail/amphenol-cs-fci/54602-908LF/1001360?s=N4IgTCBcDaIKwBYBsAGMBaAnCgHAGQDEQBdAXyA" TargetMode="External"/><Relationship Id="rId29" Type="http://schemas.openxmlformats.org/officeDocument/2006/relationships/hyperlink" Target="https://www.digikey.ca/en/products/detail/nichicon/UCD1V101MCL6GS/2549719?s=N4IgTCBcDaICwE4DMBaAbHMAGFBGFAcgCIgC6AvkA" TargetMode="External"/><Relationship Id="rId24" Type="http://schemas.openxmlformats.org/officeDocument/2006/relationships/hyperlink" Target="https://www.digikey.ca/en/products/detail/vpg-foil-resistors/Y40225K00000T9R/6027797" TargetMode="External"/><Relationship Id="rId40" Type="http://schemas.openxmlformats.org/officeDocument/2006/relationships/hyperlink" Target="https://www.digikey.ca/en/products/detail/bourns-inc/PWR163S-25-R200FE/4699604" TargetMode="External"/><Relationship Id="rId45" Type="http://schemas.openxmlformats.org/officeDocument/2006/relationships/hyperlink" Target="https://www.digikey.ca/en/products/detail/panasonic-industry/ERA-6AEB512V/1465766" TargetMode="External"/><Relationship Id="rId66" Type="http://schemas.openxmlformats.org/officeDocument/2006/relationships/hyperlink" Target="https://a.co/d/07C41t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D1A0-DB25-4A41-8C08-FA38840E27F1}">
  <dimension ref="A1:I108"/>
  <sheetViews>
    <sheetView tabSelected="1" workbookViewId="0">
      <selection activeCell="E20" sqref="E20"/>
    </sheetView>
  </sheetViews>
  <sheetFormatPr defaultRowHeight="15" x14ac:dyDescent="0.25"/>
  <cols>
    <col min="1" max="1" width="7.42578125" customWidth="1"/>
    <col min="2" max="2" width="45.85546875" style="26" customWidth="1"/>
    <col min="3" max="3" width="28" style="26" customWidth="1"/>
    <col min="4" max="4" width="27.7109375" style="26" customWidth="1"/>
    <col min="5" max="5" width="20.42578125" customWidth="1"/>
    <col min="6" max="6" width="17" style="26" customWidth="1"/>
    <col min="7" max="7" width="19.42578125" style="26" customWidth="1"/>
    <col min="8" max="8" width="23.140625" customWidth="1"/>
    <col min="9" max="9" width="23" customWidth="1"/>
  </cols>
  <sheetData>
    <row r="1" spans="1:9" ht="15.75" thickBot="1" x14ac:dyDescent="0.3">
      <c r="A1" s="1"/>
      <c r="B1" s="9"/>
      <c r="C1" s="9"/>
      <c r="D1" s="9"/>
      <c r="E1" s="9"/>
      <c r="F1" s="9"/>
      <c r="G1" s="9"/>
      <c r="H1" s="1"/>
      <c r="I1" s="2"/>
    </row>
    <row r="2" spans="1:9" ht="19.5" thickBot="1" x14ac:dyDescent="0.3">
      <c r="A2" s="33" t="s">
        <v>0</v>
      </c>
      <c r="B2" s="34"/>
      <c r="C2" s="34"/>
      <c r="D2" s="34"/>
      <c r="E2" s="34"/>
      <c r="F2" s="34"/>
      <c r="G2" s="34"/>
      <c r="H2" s="34"/>
      <c r="I2" s="35"/>
    </row>
    <row r="3" spans="1:9" ht="39.75" thickBot="1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6" t="s">
        <v>8</v>
      </c>
      <c r="I3" s="8" t="s">
        <v>9</v>
      </c>
    </row>
    <row r="4" spans="1:9" ht="16.5" thickBot="1" x14ac:dyDescent="0.3">
      <c r="A4" s="1"/>
      <c r="B4" s="30" t="s">
        <v>10</v>
      </c>
      <c r="C4" s="31"/>
      <c r="D4" s="31"/>
      <c r="E4" s="32"/>
      <c r="F4" s="9"/>
      <c r="G4" s="9"/>
      <c r="H4" s="1"/>
      <c r="I4" s="1"/>
    </row>
    <row r="5" spans="1:9" ht="15.75" thickBot="1" x14ac:dyDescent="0.3">
      <c r="A5" s="1">
        <f>A4+1</f>
        <v>1</v>
      </c>
      <c r="B5" s="9" t="s">
        <v>11</v>
      </c>
      <c r="C5" s="21" t="s">
        <v>12</v>
      </c>
      <c r="D5" s="9" t="s">
        <v>13</v>
      </c>
      <c r="E5" s="9">
        <v>1</v>
      </c>
      <c r="F5" s="10">
        <v>23.11</v>
      </c>
      <c r="G5" s="11" t="s">
        <v>14</v>
      </c>
      <c r="H5" s="1"/>
      <c r="I5" s="1"/>
    </row>
    <row r="6" spans="1:9" ht="15.75" thickBot="1" x14ac:dyDescent="0.3">
      <c r="A6" s="1">
        <f t="shared" ref="A6:A69" si="0">A5+1</f>
        <v>2</v>
      </c>
      <c r="B6" s="9" t="s">
        <v>15</v>
      </c>
      <c r="C6" s="21" t="s">
        <v>16</v>
      </c>
      <c r="D6" s="9" t="s">
        <v>17</v>
      </c>
      <c r="E6" s="9">
        <v>2</v>
      </c>
      <c r="F6" s="10">
        <v>2.2799999999999998</v>
      </c>
      <c r="G6" s="11" t="s">
        <v>14</v>
      </c>
      <c r="H6" s="1"/>
      <c r="I6" s="1"/>
    </row>
    <row r="7" spans="1:9" ht="30.75" thickBot="1" x14ac:dyDescent="0.3">
      <c r="A7" s="1">
        <f t="shared" si="0"/>
        <v>3</v>
      </c>
      <c r="B7" s="9" t="s">
        <v>18</v>
      </c>
      <c r="C7" s="21" t="s">
        <v>19</v>
      </c>
      <c r="D7" s="9" t="s">
        <v>20</v>
      </c>
      <c r="E7" s="9">
        <v>1</v>
      </c>
      <c r="F7" s="10">
        <v>0.16</v>
      </c>
      <c r="G7" s="11" t="s">
        <v>14</v>
      </c>
      <c r="H7" s="1"/>
      <c r="I7" s="1"/>
    </row>
    <row r="8" spans="1:9" ht="15.75" thickBot="1" x14ac:dyDescent="0.3">
      <c r="A8" s="1">
        <f t="shared" si="0"/>
        <v>4</v>
      </c>
      <c r="B8" s="9" t="s">
        <v>21</v>
      </c>
      <c r="C8" s="21" t="s">
        <v>22</v>
      </c>
      <c r="D8" s="9" t="s">
        <v>23</v>
      </c>
      <c r="E8" s="9">
        <v>1</v>
      </c>
      <c r="F8" s="10">
        <v>7.52</v>
      </c>
      <c r="G8" s="11" t="s">
        <v>14</v>
      </c>
      <c r="H8" s="1"/>
      <c r="I8" s="1"/>
    </row>
    <row r="9" spans="1:9" ht="15.75" thickBot="1" x14ac:dyDescent="0.3">
      <c r="A9" s="1">
        <f t="shared" si="0"/>
        <v>5</v>
      </c>
      <c r="B9" s="9" t="s">
        <v>24</v>
      </c>
      <c r="C9" s="21" t="s">
        <v>25</v>
      </c>
      <c r="D9" s="9"/>
      <c r="E9" s="9">
        <v>1</v>
      </c>
      <c r="F9" s="10">
        <v>0.69</v>
      </c>
      <c r="G9" s="11" t="s">
        <v>14</v>
      </c>
      <c r="H9" s="1"/>
      <c r="I9" s="1"/>
    </row>
    <row r="10" spans="1:9" ht="15.75" thickBot="1" x14ac:dyDescent="0.3">
      <c r="A10" s="1">
        <f t="shared" si="0"/>
        <v>6</v>
      </c>
      <c r="B10" s="9" t="s">
        <v>26</v>
      </c>
      <c r="C10" s="21" t="s">
        <v>27</v>
      </c>
      <c r="D10" s="9" t="s">
        <v>28</v>
      </c>
      <c r="E10" s="9">
        <v>1</v>
      </c>
      <c r="F10" s="10">
        <v>0.47</v>
      </c>
      <c r="G10" s="11" t="s">
        <v>14</v>
      </c>
      <c r="H10" s="1"/>
      <c r="I10" s="1"/>
    </row>
    <row r="11" spans="1:9" ht="15.75" thickBot="1" x14ac:dyDescent="0.3">
      <c r="A11" s="1">
        <f t="shared" si="0"/>
        <v>7</v>
      </c>
      <c r="B11" s="9" t="s">
        <v>29</v>
      </c>
      <c r="C11" s="22" t="s">
        <v>30</v>
      </c>
      <c r="D11" s="9" t="s">
        <v>31</v>
      </c>
      <c r="E11" s="9">
        <v>1</v>
      </c>
      <c r="F11" s="10">
        <v>1.61</v>
      </c>
      <c r="G11" s="11" t="s">
        <v>14</v>
      </c>
      <c r="H11" s="1"/>
      <c r="I11" s="1"/>
    </row>
    <row r="12" spans="1:9" ht="15.75" thickBot="1" x14ac:dyDescent="0.3">
      <c r="A12" s="1">
        <f t="shared" si="0"/>
        <v>8</v>
      </c>
      <c r="B12" s="9" t="s">
        <v>32</v>
      </c>
      <c r="C12" s="21" t="s">
        <v>33</v>
      </c>
      <c r="D12" s="12" t="s">
        <v>34</v>
      </c>
      <c r="E12" s="9">
        <v>4</v>
      </c>
      <c r="F12" s="10">
        <v>33.479999999999997</v>
      </c>
      <c r="G12" s="11" t="s">
        <v>14</v>
      </c>
      <c r="H12" s="1"/>
      <c r="I12" s="1"/>
    </row>
    <row r="13" spans="1:9" ht="15.75" thickBot="1" x14ac:dyDescent="0.3">
      <c r="A13" s="1">
        <f t="shared" si="0"/>
        <v>9</v>
      </c>
      <c r="B13" s="9" t="s">
        <v>35</v>
      </c>
      <c r="C13" s="21" t="s">
        <v>36</v>
      </c>
      <c r="D13" s="9" t="s">
        <v>37</v>
      </c>
      <c r="E13" s="9">
        <v>1</v>
      </c>
      <c r="F13" s="10">
        <v>6.84</v>
      </c>
      <c r="G13" s="11" t="s">
        <v>14</v>
      </c>
      <c r="H13" s="1"/>
      <c r="I13" s="1"/>
    </row>
    <row r="14" spans="1:9" ht="30.75" thickBot="1" x14ac:dyDescent="0.3">
      <c r="A14" s="1">
        <f t="shared" si="0"/>
        <v>10</v>
      </c>
      <c r="B14" s="9" t="s">
        <v>38</v>
      </c>
      <c r="C14" s="21" t="s">
        <v>39</v>
      </c>
      <c r="D14" s="12" t="s">
        <v>40</v>
      </c>
      <c r="E14" s="9">
        <v>8</v>
      </c>
      <c r="F14" s="10">
        <v>430.8</v>
      </c>
      <c r="G14" s="11" t="s">
        <v>14</v>
      </c>
      <c r="H14" s="1"/>
      <c r="I14" s="1"/>
    </row>
    <row r="15" spans="1:9" ht="15.75" thickBot="1" x14ac:dyDescent="0.3">
      <c r="A15" s="1">
        <f t="shared" si="0"/>
        <v>11</v>
      </c>
      <c r="B15" s="12" t="s">
        <v>41</v>
      </c>
      <c r="C15" s="21" t="s">
        <v>42</v>
      </c>
      <c r="D15" s="9"/>
      <c r="E15" s="9">
        <v>4</v>
      </c>
      <c r="F15" s="10">
        <v>9.36</v>
      </c>
      <c r="G15" s="11" t="s">
        <v>14</v>
      </c>
      <c r="H15" s="1"/>
      <c r="I15" s="1"/>
    </row>
    <row r="16" spans="1:9" ht="15.75" thickBot="1" x14ac:dyDescent="0.3">
      <c r="A16" s="1">
        <f t="shared" si="0"/>
        <v>12</v>
      </c>
      <c r="B16" s="9" t="s">
        <v>43</v>
      </c>
      <c r="C16" s="21" t="s">
        <v>44</v>
      </c>
      <c r="D16" s="9"/>
      <c r="E16" s="9">
        <v>4</v>
      </c>
      <c r="F16" s="10">
        <v>1.8</v>
      </c>
      <c r="G16" s="11" t="s">
        <v>14</v>
      </c>
      <c r="H16" s="1"/>
      <c r="I16" s="1"/>
    </row>
    <row r="17" spans="1:9" ht="15.75" thickBot="1" x14ac:dyDescent="0.3">
      <c r="A17" s="1">
        <f t="shared" si="0"/>
        <v>13</v>
      </c>
      <c r="B17" s="9" t="s">
        <v>45</v>
      </c>
      <c r="C17" s="21" t="s">
        <v>46</v>
      </c>
      <c r="D17" s="9"/>
      <c r="E17" s="9">
        <v>4</v>
      </c>
      <c r="F17" s="10">
        <v>4.5599999999999996</v>
      </c>
      <c r="G17" s="11" t="s">
        <v>14</v>
      </c>
      <c r="H17" s="1"/>
      <c r="I17" s="1"/>
    </row>
    <row r="18" spans="1:9" ht="15.75" thickBot="1" x14ac:dyDescent="0.3">
      <c r="A18" s="1">
        <f t="shared" si="0"/>
        <v>14</v>
      </c>
      <c r="B18" s="9" t="s">
        <v>47</v>
      </c>
      <c r="C18" s="23" t="s">
        <v>48</v>
      </c>
      <c r="D18" s="9" t="s">
        <v>49</v>
      </c>
      <c r="E18" s="9">
        <v>1</v>
      </c>
      <c r="F18" s="10">
        <v>26.01</v>
      </c>
      <c r="G18" s="11" t="s">
        <v>14</v>
      </c>
      <c r="H18" s="1"/>
      <c r="I18" s="1"/>
    </row>
    <row r="19" spans="1:9" ht="15.75" thickBot="1" x14ac:dyDescent="0.3">
      <c r="A19" s="1">
        <f t="shared" si="0"/>
        <v>15</v>
      </c>
      <c r="B19" s="9" t="s">
        <v>50</v>
      </c>
      <c r="C19" s="21" t="s">
        <v>51</v>
      </c>
      <c r="D19" s="9"/>
      <c r="E19" s="9">
        <v>4</v>
      </c>
      <c r="F19" s="10">
        <v>0.64</v>
      </c>
      <c r="G19" s="11" t="s">
        <v>14</v>
      </c>
      <c r="H19" s="1"/>
      <c r="I19" s="1"/>
    </row>
    <row r="20" spans="1:9" ht="15.75" thickBot="1" x14ac:dyDescent="0.3">
      <c r="A20" s="1">
        <f t="shared" si="0"/>
        <v>16</v>
      </c>
      <c r="B20" s="9" t="s">
        <v>52</v>
      </c>
      <c r="C20" s="21" t="s">
        <v>53</v>
      </c>
      <c r="D20" s="9" t="s">
        <v>231</v>
      </c>
      <c r="E20" s="9">
        <v>1</v>
      </c>
      <c r="F20" s="10">
        <v>20.93</v>
      </c>
      <c r="G20" s="11" t="s">
        <v>14</v>
      </c>
      <c r="H20" s="1"/>
      <c r="I20" s="1"/>
    </row>
    <row r="21" spans="1:9" ht="15.75" thickBot="1" x14ac:dyDescent="0.3">
      <c r="A21" s="1">
        <f t="shared" si="0"/>
        <v>17</v>
      </c>
      <c r="B21" s="9" t="s">
        <v>54</v>
      </c>
      <c r="C21" s="21" t="s">
        <v>55</v>
      </c>
      <c r="D21" s="9"/>
      <c r="E21" s="9">
        <v>4</v>
      </c>
      <c r="F21" s="10">
        <v>3.24</v>
      </c>
      <c r="G21" s="11" t="s">
        <v>14</v>
      </c>
      <c r="H21" s="1"/>
      <c r="I21" s="1"/>
    </row>
    <row r="22" spans="1:9" ht="15.75" thickBot="1" x14ac:dyDescent="0.3">
      <c r="A22" s="1">
        <f t="shared" si="0"/>
        <v>18</v>
      </c>
      <c r="B22" s="9" t="s">
        <v>56</v>
      </c>
      <c r="C22" s="21" t="s">
        <v>57</v>
      </c>
      <c r="D22" s="9"/>
      <c r="E22" s="9">
        <v>16</v>
      </c>
      <c r="F22" s="10">
        <v>3.63</v>
      </c>
      <c r="G22" s="11" t="s">
        <v>14</v>
      </c>
      <c r="H22" s="1"/>
      <c r="I22" s="1"/>
    </row>
    <row r="23" spans="1:9" ht="15.75" thickBot="1" x14ac:dyDescent="0.3">
      <c r="A23" s="1">
        <f t="shared" si="0"/>
        <v>19</v>
      </c>
      <c r="B23" s="9" t="s">
        <v>58</v>
      </c>
      <c r="C23" s="21" t="s">
        <v>59</v>
      </c>
      <c r="D23" s="12" t="s">
        <v>60</v>
      </c>
      <c r="E23" s="9">
        <v>4</v>
      </c>
      <c r="F23" s="10">
        <v>56.2</v>
      </c>
      <c r="G23" s="11" t="s">
        <v>14</v>
      </c>
      <c r="H23" s="1"/>
      <c r="I23" s="1"/>
    </row>
    <row r="24" spans="1:9" ht="15.75" thickBot="1" x14ac:dyDescent="0.3">
      <c r="A24" s="1">
        <f t="shared" si="0"/>
        <v>20</v>
      </c>
      <c r="B24" s="9" t="s">
        <v>61</v>
      </c>
      <c r="C24" s="22" t="s">
        <v>62</v>
      </c>
      <c r="D24" s="12" t="s">
        <v>63</v>
      </c>
      <c r="E24" s="9">
        <v>1</v>
      </c>
      <c r="F24" s="10">
        <v>0.23</v>
      </c>
      <c r="G24" s="11" t="s">
        <v>14</v>
      </c>
      <c r="H24" s="1"/>
      <c r="I24" s="1"/>
    </row>
    <row r="25" spans="1:9" ht="16.5" thickBot="1" x14ac:dyDescent="0.3">
      <c r="A25" s="1"/>
      <c r="B25" s="27" t="s">
        <v>64</v>
      </c>
      <c r="C25" s="28"/>
      <c r="D25" s="28"/>
      <c r="E25" s="29"/>
      <c r="F25" s="9"/>
      <c r="G25" s="11" t="s">
        <v>14</v>
      </c>
      <c r="H25" s="1"/>
      <c r="I25" s="1"/>
    </row>
    <row r="26" spans="1:9" ht="30.75" thickBot="1" x14ac:dyDescent="0.3">
      <c r="A26" s="1">
        <f>A25+1</f>
        <v>1</v>
      </c>
      <c r="B26" s="9" t="s">
        <v>65</v>
      </c>
      <c r="C26" s="22" t="s">
        <v>66</v>
      </c>
      <c r="D26" s="12" t="s">
        <v>67</v>
      </c>
      <c r="E26" s="9">
        <v>10</v>
      </c>
      <c r="F26" s="10">
        <v>2.17</v>
      </c>
      <c r="G26" s="11" t="s">
        <v>14</v>
      </c>
      <c r="H26" s="1"/>
      <c r="I26" s="1"/>
    </row>
    <row r="27" spans="1:9" ht="45.75" thickBot="1" x14ac:dyDescent="0.3">
      <c r="A27" s="1">
        <f t="shared" si="0"/>
        <v>2</v>
      </c>
      <c r="B27" s="9" t="s">
        <v>68</v>
      </c>
      <c r="C27" s="22" t="s">
        <v>69</v>
      </c>
      <c r="D27" s="12" t="s">
        <v>70</v>
      </c>
      <c r="E27" s="9">
        <v>14</v>
      </c>
      <c r="F27" s="10">
        <v>3.5</v>
      </c>
      <c r="G27" s="11" t="s">
        <v>14</v>
      </c>
      <c r="H27" s="1"/>
      <c r="I27" s="1"/>
    </row>
    <row r="28" spans="1:9" ht="30.75" thickBot="1" x14ac:dyDescent="0.3">
      <c r="A28" s="1">
        <f t="shared" si="0"/>
        <v>3</v>
      </c>
      <c r="B28" s="9" t="s">
        <v>71</v>
      </c>
      <c r="C28" s="22" t="s">
        <v>72</v>
      </c>
      <c r="D28" s="9" t="s">
        <v>73</v>
      </c>
      <c r="E28" s="9">
        <v>2</v>
      </c>
      <c r="F28" s="10">
        <v>0.26</v>
      </c>
      <c r="G28" s="11" t="s">
        <v>14</v>
      </c>
      <c r="H28" s="1"/>
      <c r="I28" s="1"/>
    </row>
    <row r="29" spans="1:9" ht="30.75" thickBot="1" x14ac:dyDescent="0.3">
      <c r="A29" s="1">
        <f t="shared" si="0"/>
        <v>4</v>
      </c>
      <c r="B29" s="9" t="s">
        <v>74</v>
      </c>
      <c r="C29" s="22" t="s">
        <v>75</v>
      </c>
      <c r="D29" s="9" t="s">
        <v>76</v>
      </c>
      <c r="E29" s="9">
        <v>2</v>
      </c>
      <c r="F29" s="10">
        <v>38.24</v>
      </c>
      <c r="G29" s="11" t="s">
        <v>14</v>
      </c>
      <c r="H29" s="1"/>
      <c r="I29" s="1"/>
    </row>
    <row r="30" spans="1:9" ht="15.75" thickBot="1" x14ac:dyDescent="0.3">
      <c r="A30" s="1">
        <f t="shared" si="0"/>
        <v>5</v>
      </c>
      <c r="B30" s="9" t="s">
        <v>77</v>
      </c>
      <c r="C30" s="22" t="s">
        <v>78</v>
      </c>
      <c r="D30" s="9" t="s">
        <v>79</v>
      </c>
      <c r="E30" s="9">
        <v>2</v>
      </c>
      <c r="F30" s="10">
        <v>15.72</v>
      </c>
      <c r="G30" s="11" t="s">
        <v>14</v>
      </c>
      <c r="H30" s="1"/>
      <c r="I30" s="1"/>
    </row>
    <row r="31" spans="1:9" ht="45.75" thickBot="1" x14ac:dyDescent="0.3">
      <c r="A31" s="1">
        <f t="shared" si="0"/>
        <v>6</v>
      </c>
      <c r="B31" s="9" t="s">
        <v>80</v>
      </c>
      <c r="C31" s="22" t="s">
        <v>81</v>
      </c>
      <c r="D31" s="9" t="s">
        <v>82</v>
      </c>
      <c r="E31" s="9">
        <v>2</v>
      </c>
      <c r="F31" s="10">
        <v>0.56000000000000005</v>
      </c>
      <c r="G31" s="11" t="s">
        <v>14</v>
      </c>
      <c r="H31" s="1"/>
      <c r="I31" s="1"/>
    </row>
    <row r="32" spans="1:9" ht="30.75" thickBot="1" x14ac:dyDescent="0.3">
      <c r="A32" s="1">
        <f t="shared" si="0"/>
        <v>7</v>
      </c>
      <c r="B32" s="9" t="s">
        <v>83</v>
      </c>
      <c r="C32" s="22" t="s">
        <v>84</v>
      </c>
      <c r="D32" s="9" t="s">
        <v>85</v>
      </c>
      <c r="E32" s="9">
        <v>2</v>
      </c>
      <c r="F32" s="10">
        <v>1.04</v>
      </c>
      <c r="G32" s="11" t="s">
        <v>14</v>
      </c>
      <c r="H32" s="1"/>
      <c r="I32" s="1"/>
    </row>
    <row r="33" spans="1:9" ht="30.75" thickBot="1" x14ac:dyDescent="0.3">
      <c r="A33" s="1">
        <f t="shared" si="0"/>
        <v>8</v>
      </c>
      <c r="B33" s="9" t="s">
        <v>86</v>
      </c>
      <c r="C33" s="22" t="s">
        <v>87</v>
      </c>
      <c r="D33" s="12" t="s">
        <v>88</v>
      </c>
      <c r="E33" s="9">
        <v>10</v>
      </c>
      <c r="F33" s="10">
        <v>1.5</v>
      </c>
      <c r="G33" s="11" t="s">
        <v>14</v>
      </c>
      <c r="H33" s="1"/>
      <c r="I33" s="1"/>
    </row>
    <row r="34" spans="1:9" ht="15.75" thickBot="1" x14ac:dyDescent="0.3">
      <c r="A34" s="1">
        <f t="shared" si="0"/>
        <v>9</v>
      </c>
      <c r="B34" s="9"/>
      <c r="C34" s="9"/>
      <c r="D34" s="12" t="s">
        <v>89</v>
      </c>
      <c r="E34" s="1"/>
      <c r="F34" s="9"/>
      <c r="G34" s="11" t="s">
        <v>14</v>
      </c>
      <c r="H34" s="1"/>
      <c r="I34" s="1"/>
    </row>
    <row r="35" spans="1:9" ht="30.75" thickBot="1" x14ac:dyDescent="0.3">
      <c r="A35" s="1">
        <f t="shared" si="0"/>
        <v>10</v>
      </c>
      <c r="B35" s="9" t="s">
        <v>90</v>
      </c>
      <c r="C35" s="21" t="s">
        <v>91</v>
      </c>
      <c r="D35" s="12" t="s">
        <v>92</v>
      </c>
      <c r="E35" s="9">
        <v>3</v>
      </c>
      <c r="F35" s="10">
        <v>1.95</v>
      </c>
      <c r="G35" s="11" t="s">
        <v>14</v>
      </c>
      <c r="H35" s="1"/>
      <c r="I35" s="1"/>
    </row>
    <row r="36" spans="1:9" ht="15.75" thickBot="1" x14ac:dyDescent="0.3">
      <c r="A36" s="1">
        <f t="shared" si="0"/>
        <v>11</v>
      </c>
      <c r="B36" s="12" t="s">
        <v>93</v>
      </c>
      <c r="C36" s="22" t="s">
        <v>94</v>
      </c>
      <c r="D36" s="12" t="s">
        <v>95</v>
      </c>
      <c r="E36" s="9">
        <v>1</v>
      </c>
      <c r="F36" s="10">
        <v>0.13</v>
      </c>
      <c r="G36" s="11" t="s">
        <v>14</v>
      </c>
      <c r="H36" s="1"/>
      <c r="I36" s="1"/>
    </row>
    <row r="37" spans="1:9" ht="15.75" thickBot="1" x14ac:dyDescent="0.3">
      <c r="A37" s="1">
        <f t="shared" si="0"/>
        <v>12</v>
      </c>
      <c r="B37" s="12" t="s">
        <v>96</v>
      </c>
      <c r="C37" s="21" t="s">
        <v>94</v>
      </c>
      <c r="D37" s="12" t="s">
        <v>97</v>
      </c>
      <c r="E37" s="9">
        <v>3</v>
      </c>
      <c r="F37" s="10">
        <v>0.39</v>
      </c>
      <c r="G37" s="11" t="s">
        <v>14</v>
      </c>
      <c r="H37" s="1"/>
      <c r="I37" s="1"/>
    </row>
    <row r="38" spans="1:9" ht="45.75" thickBot="1" x14ac:dyDescent="0.3">
      <c r="A38" s="1">
        <f t="shared" si="0"/>
        <v>13</v>
      </c>
      <c r="B38" s="9" t="s">
        <v>98</v>
      </c>
      <c r="C38" s="22" t="s">
        <v>99</v>
      </c>
      <c r="D38" s="12" t="s">
        <v>100</v>
      </c>
      <c r="E38" s="9">
        <v>12</v>
      </c>
      <c r="F38" s="10">
        <v>6.25</v>
      </c>
      <c r="G38" s="11" t="s">
        <v>14</v>
      </c>
      <c r="H38" s="1"/>
      <c r="I38" s="1"/>
    </row>
    <row r="39" spans="1:9" ht="75.75" thickBot="1" x14ac:dyDescent="0.3">
      <c r="A39" s="1">
        <f t="shared" si="0"/>
        <v>14</v>
      </c>
      <c r="B39" s="9" t="s">
        <v>101</v>
      </c>
      <c r="C39" s="22" t="s">
        <v>99</v>
      </c>
      <c r="D39" s="12" t="s">
        <v>102</v>
      </c>
      <c r="E39" s="9">
        <v>18</v>
      </c>
      <c r="F39" s="10">
        <v>9.3800000000000008</v>
      </c>
      <c r="G39" s="11" t="s">
        <v>14</v>
      </c>
      <c r="H39" s="1"/>
      <c r="I39" s="1"/>
    </row>
    <row r="40" spans="1:9" ht="45.75" thickBot="1" x14ac:dyDescent="0.3">
      <c r="A40" s="1">
        <f t="shared" si="0"/>
        <v>15</v>
      </c>
      <c r="B40" s="9" t="s">
        <v>103</v>
      </c>
      <c r="C40" s="22" t="s">
        <v>104</v>
      </c>
      <c r="D40" s="12" t="s">
        <v>105</v>
      </c>
      <c r="E40" s="9">
        <v>1</v>
      </c>
      <c r="F40" s="10">
        <v>0.38</v>
      </c>
      <c r="G40" s="11" t="s">
        <v>14</v>
      </c>
      <c r="H40" s="1"/>
      <c r="I40" s="1"/>
    </row>
    <row r="41" spans="1:9" ht="60.75" thickBot="1" x14ac:dyDescent="0.3">
      <c r="A41" s="1">
        <f t="shared" si="0"/>
        <v>16</v>
      </c>
      <c r="B41" s="9" t="s">
        <v>106</v>
      </c>
      <c r="C41" s="22" t="s">
        <v>107</v>
      </c>
      <c r="D41" s="12" t="s">
        <v>108</v>
      </c>
      <c r="E41" s="9">
        <v>16</v>
      </c>
      <c r="F41" s="10">
        <v>3.17</v>
      </c>
      <c r="G41" s="11" t="s">
        <v>14</v>
      </c>
      <c r="H41" s="1"/>
      <c r="I41" s="1"/>
    </row>
    <row r="42" spans="1:9" ht="30.75" thickBot="1" x14ac:dyDescent="0.3">
      <c r="A42" s="1">
        <f t="shared" si="0"/>
        <v>17</v>
      </c>
      <c r="B42" s="9" t="s">
        <v>109</v>
      </c>
      <c r="C42" s="22" t="s">
        <v>110</v>
      </c>
      <c r="D42" s="12" t="s">
        <v>111</v>
      </c>
      <c r="E42" s="9">
        <v>4</v>
      </c>
      <c r="F42" s="10">
        <v>2.1</v>
      </c>
      <c r="G42" s="11" t="s">
        <v>14</v>
      </c>
      <c r="H42" s="1"/>
      <c r="I42" s="1"/>
    </row>
    <row r="43" spans="1:9" ht="15.75" thickBot="1" x14ac:dyDescent="0.3">
      <c r="A43" s="1">
        <f t="shared" si="0"/>
        <v>18</v>
      </c>
      <c r="B43" s="9" t="s">
        <v>112</v>
      </c>
      <c r="C43" s="22" t="s">
        <v>113</v>
      </c>
      <c r="D43" s="12" t="s">
        <v>114</v>
      </c>
      <c r="E43" s="9">
        <v>2</v>
      </c>
      <c r="F43" s="10">
        <v>4.45</v>
      </c>
      <c r="G43" s="11" t="s">
        <v>14</v>
      </c>
      <c r="H43" s="1"/>
      <c r="I43" s="1"/>
    </row>
    <row r="44" spans="1:9" ht="30.75" thickBot="1" x14ac:dyDescent="0.3">
      <c r="A44" s="1">
        <f t="shared" si="0"/>
        <v>19</v>
      </c>
      <c r="B44" s="9" t="s">
        <v>115</v>
      </c>
      <c r="C44" s="22" t="s">
        <v>66</v>
      </c>
      <c r="D44" s="12" t="s">
        <v>116</v>
      </c>
      <c r="E44" s="9">
        <v>9</v>
      </c>
      <c r="F44" s="10">
        <v>1.95</v>
      </c>
      <c r="G44" s="11" t="s">
        <v>14</v>
      </c>
      <c r="H44" s="1"/>
      <c r="I44" s="1"/>
    </row>
    <row r="45" spans="1:9" ht="15.75" thickBot="1" x14ac:dyDescent="0.3">
      <c r="A45" s="1">
        <f t="shared" si="0"/>
        <v>20</v>
      </c>
      <c r="B45" s="9" t="s">
        <v>117</v>
      </c>
      <c r="C45" s="22" t="s">
        <v>118</v>
      </c>
      <c r="D45" s="12" t="s">
        <v>119</v>
      </c>
      <c r="E45" s="9">
        <v>4</v>
      </c>
      <c r="F45" s="10">
        <v>2.16</v>
      </c>
      <c r="G45" s="11" t="s">
        <v>14</v>
      </c>
      <c r="H45" s="1"/>
      <c r="I45" s="1"/>
    </row>
    <row r="46" spans="1:9" ht="15.75" thickBot="1" x14ac:dyDescent="0.3">
      <c r="A46" s="1">
        <f t="shared" si="0"/>
        <v>21</v>
      </c>
      <c r="B46" s="12" t="s">
        <v>120</v>
      </c>
      <c r="C46" s="22" t="s">
        <v>121</v>
      </c>
      <c r="D46" s="12" t="s">
        <v>122</v>
      </c>
      <c r="E46" s="9">
        <v>4</v>
      </c>
      <c r="F46" s="10">
        <v>44.29</v>
      </c>
      <c r="G46" s="11" t="s">
        <v>14</v>
      </c>
      <c r="H46" s="1"/>
      <c r="I46" s="1"/>
    </row>
    <row r="47" spans="1:9" ht="15.75" thickBot="1" x14ac:dyDescent="0.3">
      <c r="A47" s="1">
        <f t="shared" si="0"/>
        <v>22</v>
      </c>
      <c r="B47" s="9" t="s">
        <v>123</v>
      </c>
      <c r="C47" s="22" t="s">
        <v>124</v>
      </c>
      <c r="D47" s="12" t="s">
        <v>125</v>
      </c>
      <c r="E47" s="9">
        <v>3</v>
      </c>
      <c r="F47" s="10">
        <v>14.33</v>
      </c>
      <c r="G47" s="11" t="s">
        <v>14</v>
      </c>
      <c r="H47" s="1"/>
      <c r="I47" s="1"/>
    </row>
    <row r="48" spans="1:9" ht="15.75" thickBot="1" x14ac:dyDescent="0.3">
      <c r="A48" s="1">
        <f t="shared" si="0"/>
        <v>23</v>
      </c>
      <c r="B48" s="9" t="s">
        <v>126</v>
      </c>
      <c r="C48" s="22" t="s">
        <v>127</v>
      </c>
      <c r="D48" s="12" t="s">
        <v>128</v>
      </c>
      <c r="E48" s="9">
        <v>1</v>
      </c>
      <c r="F48" s="10">
        <v>9.5500000000000007</v>
      </c>
      <c r="G48" s="11" t="s">
        <v>14</v>
      </c>
      <c r="H48" s="1"/>
      <c r="I48" s="1"/>
    </row>
    <row r="49" spans="1:9" ht="15.75" thickBot="1" x14ac:dyDescent="0.3">
      <c r="A49" s="1">
        <f t="shared" si="0"/>
        <v>24</v>
      </c>
      <c r="B49" s="9" t="s">
        <v>129</v>
      </c>
      <c r="C49" s="21" t="s">
        <v>130</v>
      </c>
      <c r="D49" s="12" t="s">
        <v>131</v>
      </c>
      <c r="E49" s="9">
        <v>4</v>
      </c>
      <c r="F49" s="10">
        <v>16.23</v>
      </c>
      <c r="G49" s="11" t="s">
        <v>14</v>
      </c>
      <c r="H49" s="1"/>
      <c r="I49" s="1"/>
    </row>
    <row r="50" spans="1:9" ht="60.75" thickBot="1" x14ac:dyDescent="0.3">
      <c r="A50" s="1">
        <f t="shared" si="0"/>
        <v>25</v>
      </c>
      <c r="B50" s="9" t="s">
        <v>132</v>
      </c>
      <c r="C50" s="22" t="s">
        <v>133</v>
      </c>
      <c r="D50" s="12" t="s">
        <v>134</v>
      </c>
      <c r="E50" s="9">
        <v>16</v>
      </c>
      <c r="F50" s="10">
        <v>2.06</v>
      </c>
      <c r="G50" s="11" t="s">
        <v>14</v>
      </c>
      <c r="H50" s="1"/>
      <c r="I50" s="1"/>
    </row>
    <row r="51" spans="1:9" ht="15.75" thickBot="1" x14ac:dyDescent="0.3">
      <c r="A51" s="1">
        <f t="shared" si="0"/>
        <v>26</v>
      </c>
      <c r="B51" s="9" t="s">
        <v>135</v>
      </c>
      <c r="C51" s="22" t="s">
        <v>136</v>
      </c>
      <c r="D51" s="12" t="s">
        <v>137</v>
      </c>
      <c r="E51" s="9">
        <v>6</v>
      </c>
      <c r="F51" s="10">
        <v>0.83</v>
      </c>
      <c r="G51" s="11" t="s">
        <v>14</v>
      </c>
      <c r="H51" s="1"/>
      <c r="I51" s="1"/>
    </row>
    <row r="52" spans="1:9" ht="15.75" thickBot="1" x14ac:dyDescent="0.3">
      <c r="A52" s="1">
        <f t="shared" si="0"/>
        <v>27</v>
      </c>
      <c r="B52" s="9" t="s">
        <v>138</v>
      </c>
      <c r="C52" s="22" t="s">
        <v>139</v>
      </c>
      <c r="D52" s="12" t="s">
        <v>140</v>
      </c>
      <c r="E52" s="9">
        <v>6</v>
      </c>
      <c r="F52" s="10">
        <v>0.91</v>
      </c>
      <c r="G52" s="11" t="s">
        <v>14</v>
      </c>
      <c r="H52" s="1"/>
      <c r="I52" s="1"/>
    </row>
    <row r="53" spans="1:9" ht="15.75" thickBot="1" x14ac:dyDescent="0.3">
      <c r="A53" s="1">
        <f t="shared" si="0"/>
        <v>28</v>
      </c>
      <c r="B53" s="9" t="s">
        <v>141</v>
      </c>
      <c r="C53" s="22" t="s">
        <v>142</v>
      </c>
      <c r="D53" s="9"/>
      <c r="E53" s="9">
        <v>5</v>
      </c>
      <c r="F53" s="10">
        <v>59.52</v>
      </c>
      <c r="G53" s="11" t="s">
        <v>14</v>
      </c>
      <c r="H53" s="1"/>
      <c r="I53" s="1"/>
    </row>
    <row r="54" spans="1:9" ht="16.5" thickBot="1" x14ac:dyDescent="0.3">
      <c r="A54" s="1"/>
      <c r="B54" s="27" t="s">
        <v>143</v>
      </c>
      <c r="C54" s="28"/>
      <c r="D54" s="28"/>
      <c r="E54" s="29"/>
      <c r="F54" s="9"/>
      <c r="G54" s="11" t="s">
        <v>14</v>
      </c>
      <c r="H54" s="1"/>
      <c r="I54" s="1"/>
    </row>
    <row r="55" spans="1:9" ht="15.75" thickBot="1" x14ac:dyDescent="0.3">
      <c r="A55" s="1">
        <f t="shared" si="0"/>
        <v>1</v>
      </c>
      <c r="B55" s="9" t="s">
        <v>144</v>
      </c>
      <c r="C55" s="21" t="s">
        <v>145</v>
      </c>
      <c r="D55" s="9"/>
      <c r="E55" s="9">
        <v>6</v>
      </c>
      <c r="F55" s="10">
        <v>1.1599999999999999</v>
      </c>
      <c r="G55" s="11" t="s">
        <v>14</v>
      </c>
      <c r="H55" s="1"/>
      <c r="I55" s="1"/>
    </row>
    <row r="56" spans="1:9" ht="15.75" thickBot="1" x14ac:dyDescent="0.3">
      <c r="A56" s="1">
        <f t="shared" si="0"/>
        <v>2</v>
      </c>
      <c r="B56" s="9" t="s">
        <v>146</v>
      </c>
      <c r="C56" s="24" t="s">
        <v>147</v>
      </c>
      <c r="D56" s="9"/>
      <c r="E56" s="9">
        <v>3</v>
      </c>
      <c r="F56" s="10">
        <v>11.96</v>
      </c>
      <c r="G56" s="11" t="s">
        <v>14</v>
      </c>
      <c r="H56" s="1"/>
      <c r="I56" s="1"/>
    </row>
    <row r="57" spans="1:9" ht="15.75" thickBot="1" x14ac:dyDescent="0.3">
      <c r="A57" s="1">
        <f t="shared" si="0"/>
        <v>3</v>
      </c>
      <c r="B57" s="9" t="s">
        <v>148</v>
      </c>
      <c r="C57" s="21" t="s">
        <v>149</v>
      </c>
      <c r="D57" s="9"/>
      <c r="E57" s="9">
        <v>10</v>
      </c>
      <c r="F57" s="10">
        <v>1.44</v>
      </c>
      <c r="G57" s="11" t="s">
        <v>14</v>
      </c>
      <c r="H57" s="1"/>
      <c r="I57" s="1"/>
    </row>
    <row r="58" spans="1:9" ht="15.75" thickBot="1" x14ac:dyDescent="0.3">
      <c r="A58" s="1">
        <f t="shared" si="0"/>
        <v>4</v>
      </c>
      <c r="B58" s="12" t="s">
        <v>150</v>
      </c>
      <c r="C58" s="21" t="s">
        <v>151</v>
      </c>
      <c r="D58" s="9"/>
      <c r="E58" s="9">
        <v>1</v>
      </c>
      <c r="F58" s="10">
        <v>149.51</v>
      </c>
      <c r="G58" s="11" t="s">
        <v>14</v>
      </c>
      <c r="H58" s="1"/>
      <c r="I58" s="1"/>
    </row>
    <row r="59" spans="1:9" ht="15.75" thickBot="1" x14ac:dyDescent="0.3">
      <c r="A59" s="1">
        <f t="shared" si="0"/>
        <v>5</v>
      </c>
      <c r="B59" s="12" t="s">
        <v>152</v>
      </c>
      <c r="C59" s="21" t="s">
        <v>153</v>
      </c>
      <c r="D59" s="9"/>
      <c r="E59" s="9">
        <v>16</v>
      </c>
      <c r="F59" s="10">
        <v>2.88</v>
      </c>
      <c r="G59" s="11" t="s">
        <v>14</v>
      </c>
      <c r="H59" s="1"/>
      <c r="I59" s="1"/>
    </row>
    <row r="60" spans="1:9" ht="15.75" thickBot="1" x14ac:dyDescent="0.3">
      <c r="A60" s="1">
        <f t="shared" si="0"/>
        <v>6</v>
      </c>
      <c r="B60" s="13" t="s">
        <v>154</v>
      </c>
      <c r="C60" s="21" t="s">
        <v>155</v>
      </c>
      <c r="D60" s="9"/>
      <c r="E60" s="9">
        <v>1</v>
      </c>
      <c r="F60" s="10">
        <v>9.3000000000000007</v>
      </c>
      <c r="G60" s="11" t="s">
        <v>14</v>
      </c>
      <c r="H60" s="1"/>
      <c r="I60" s="1"/>
    </row>
    <row r="61" spans="1:9" ht="15.75" thickBot="1" x14ac:dyDescent="0.3">
      <c r="A61" s="1">
        <f t="shared" si="0"/>
        <v>7</v>
      </c>
      <c r="B61" s="13" t="s">
        <v>156</v>
      </c>
      <c r="C61" s="21" t="s">
        <v>157</v>
      </c>
      <c r="D61" s="9"/>
      <c r="E61" s="9">
        <v>1</v>
      </c>
      <c r="F61" s="10">
        <v>0.6</v>
      </c>
      <c r="G61" s="11" t="s">
        <v>14</v>
      </c>
      <c r="H61" s="1"/>
      <c r="I61" s="1"/>
    </row>
    <row r="62" spans="1:9" ht="16.5" thickBot="1" x14ac:dyDescent="0.3">
      <c r="A62" s="1">
        <f t="shared" si="0"/>
        <v>8</v>
      </c>
      <c r="B62" s="27" t="s">
        <v>158</v>
      </c>
      <c r="C62" s="28"/>
      <c r="D62" s="28"/>
      <c r="E62" s="29"/>
      <c r="F62" s="9"/>
      <c r="G62" s="11" t="s">
        <v>14</v>
      </c>
      <c r="H62" s="1"/>
      <c r="I62" s="1"/>
    </row>
    <row r="63" spans="1:9" ht="15.75" thickBot="1" x14ac:dyDescent="0.3">
      <c r="A63" s="1">
        <f t="shared" si="0"/>
        <v>9</v>
      </c>
      <c r="B63" s="14" t="s">
        <v>159</v>
      </c>
      <c r="C63" s="21" t="s">
        <v>160</v>
      </c>
      <c r="D63" s="9"/>
      <c r="E63" s="9">
        <v>3</v>
      </c>
      <c r="F63" s="10">
        <v>70.150000000000006</v>
      </c>
      <c r="G63" s="11" t="s">
        <v>14</v>
      </c>
      <c r="H63" s="1"/>
      <c r="I63" s="1"/>
    </row>
    <row r="64" spans="1:9" ht="45.75" thickBot="1" x14ac:dyDescent="0.3">
      <c r="A64" s="1">
        <f t="shared" si="0"/>
        <v>10</v>
      </c>
      <c r="B64" s="9" t="s">
        <v>161</v>
      </c>
      <c r="C64" s="22" t="s">
        <v>162</v>
      </c>
      <c r="D64" s="9"/>
      <c r="E64" s="9">
        <v>6</v>
      </c>
      <c r="F64" s="10">
        <v>11.38</v>
      </c>
      <c r="G64" s="11" t="s">
        <v>14</v>
      </c>
      <c r="H64" s="1"/>
      <c r="I64" s="1"/>
    </row>
    <row r="65" spans="1:9" ht="15.75" thickBot="1" x14ac:dyDescent="0.3">
      <c r="A65" s="1">
        <f t="shared" si="0"/>
        <v>11</v>
      </c>
      <c r="B65" s="9" t="s">
        <v>163</v>
      </c>
      <c r="C65" s="21" t="s">
        <v>164</v>
      </c>
      <c r="D65" s="9"/>
      <c r="E65" s="9">
        <v>2</v>
      </c>
      <c r="F65" s="10">
        <v>9</v>
      </c>
      <c r="G65" s="11" t="s">
        <v>14</v>
      </c>
      <c r="H65" s="1"/>
      <c r="I65" s="1"/>
    </row>
    <row r="66" spans="1:9" ht="16.5" thickBot="1" x14ac:dyDescent="0.3">
      <c r="A66" s="1">
        <f t="shared" si="0"/>
        <v>12</v>
      </c>
      <c r="B66" s="27" t="s">
        <v>165</v>
      </c>
      <c r="C66" s="28"/>
      <c r="D66" s="28"/>
      <c r="E66" s="29"/>
      <c r="F66" s="9"/>
      <c r="G66" s="11" t="s">
        <v>14</v>
      </c>
      <c r="H66" s="1"/>
      <c r="I66" s="1"/>
    </row>
    <row r="67" spans="1:9" ht="15.75" thickBot="1" x14ac:dyDescent="0.3">
      <c r="A67" s="1">
        <f t="shared" si="0"/>
        <v>13</v>
      </c>
      <c r="B67" s="9" t="s">
        <v>166</v>
      </c>
      <c r="C67" s="21" t="s">
        <v>167</v>
      </c>
      <c r="D67" s="9"/>
      <c r="E67" s="9">
        <v>1</v>
      </c>
      <c r="F67" s="10">
        <v>623.09</v>
      </c>
      <c r="G67" s="11" t="s">
        <v>14</v>
      </c>
      <c r="H67" s="1"/>
      <c r="I67" s="1"/>
    </row>
    <row r="68" spans="1:9" ht="16.5" thickBot="1" x14ac:dyDescent="0.3">
      <c r="A68" s="1">
        <f t="shared" si="0"/>
        <v>14</v>
      </c>
      <c r="B68" s="27" t="s">
        <v>168</v>
      </c>
      <c r="C68" s="28"/>
      <c r="D68" s="28"/>
      <c r="E68" s="29"/>
      <c r="F68" s="9"/>
      <c r="G68" s="11" t="s">
        <v>14</v>
      </c>
      <c r="H68" s="1"/>
      <c r="I68" s="1"/>
    </row>
    <row r="69" spans="1:9" ht="30.75" thickBot="1" x14ac:dyDescent="0.3">
      <c r="A69" s="1">
        <f t="shared" si="0"/>
        <v>15</v>
      </c>
      <c r="B69" s="9" t="s">
        <v>169</v>
      </c>
      <c r="C69" s="21" t="s">
        <v>170</v>
      </c>
      <c r="D69" s="9" t="s">
        <v>171</v>
      </c>
      <c r="E69" s="9">
        <v>1</v>
      </c>
      <c r="F69" s="10">
        <v>2.2599999999999998</v>
      </c>
      <c r="G69" s="15" t="s">
        <v>172</v>
      </c>
      <c r="H69" s="1"/>
      <c r="I69" s="1"/>
    </row>
    <row r="70" spans="1:9" ht="15.75" thickBot="1" x14ac:dyDescent="0.3">
      <c r="A70" s="1">
        <f t="shared" ref="A70:A84" si="1">A69+1</f>
        <v>16</v>
      </c>
      <c r="B70" s="9" t="s">
        <v>173</v>
      </c>
      <c r="C70" s="21" t="s">
        <v>174</v>
      </c>
      <c r="D70" s="9" t="s">
        <v>175</v>
      </c>
      <c r="E70" s="9">
        <v>1</v>
      </c>
      <c r="F70" s="10">
        <v>2.97</v>
      </c>
      <c r="G70" s="15" t="s">
        <v>172</v>
      </c>
      <c r="H70" s="1"/>
      <c r="I70" s="1"/>
    </row>
    <row r="71" spans="1:9" ht="15.75" thickBot="1" x14ac:dyDescent="0.3">
      <c r="A71" s="1">
        <f t="shared" si="1"/>
        <v>17</v>
      </c>
      <c r="B71" s="9" t="s">
        <v>176</v>
      </c>
      <c r="C71" s="21" t="s">
        <v>174</v>
      </c>
      <c r="D71" s="9" t="s">
        <v>177</v>
      </c>
      <c r="E71" s="9">
        <v>1</v>
      </c>
      <c r="F71" s="10">
        <v>2.5</v>
      </c>
      <c r="G71" s="15" t="s">
        <v>172</v>
      </c>
      <c r="H71" s="1"/>
      <c r="I71" s="1"/>
    </row>
    <row r="72" spans="1:9" ht="15.75" thickBot="1" x14ac:dyDescent="0.3">
      <c r="A72" s="1">
        <f t="shared" si="1"/>
        <v>18</v>
      </c>
      <c r="B72" s="9" t="s">
        <v>178</v>
      </c>
      <c r="C72" s="21" t="s">
        <v>174</v>
      </c>
      <c r="D72" s="9" t="s">
        <v>179</v>
      </c>
      <c r="E72" s="9">
        <v>1</v>
      </c>
      <c r="F72" s="10">
        <v>0.52</v>
      </c>
      <c r="G72" s="15" t="s">
        <v>172</v>
      </c>
      <c r="H72" s="1"/>
      <c r="I72" s="1"/>
    </row>
    <row r="73" spans="1:9" ht="15.75" thickBot="1" x14ac:dyDescent="0.3">
      <c r="A73" s="1">
        <f t="shared" si="1"/>
        <v>19</v>
      </c>
      <c r="B73" s="9" t="s">
        <v>180</v>
      </c>
      <c r="C73" s="21" t="s">
        <v>174</v>
      </c>
      <c r="D73" s="9" t="s">
        <v>181</v>
      </c>
      <c r="E73" s="9">
        <v>1</v>
      </c>
      <c r="F73" s="10">
        <v>1.5</v>
      </c>
      <c r="G73" s="15" t="s">
        <v>172</v>
      </c>
      <c r="H73" s="1"/>
      <c r="I73" s="1"/>
    </row>
    <row r="74" spans="1:9" ht="15.75" thickBot="1" x14ac:dyDescent="0.3">
      <c r="A74" s="1">
        <f t="shared" si="1"/>
        <v>20</v>
      </c>
      <c r="B74" s="9" t="s">
        <v>182</v>
      </c>
      <c r="C74" s="21" t="s">
        <v>174</v>
      </c>
      <c r="D74" s="9" t="s">
        <v>175</v>
      </c>
      <c r="E74" s="9">
        <v>1</v>
      </c>
      <c r="F74" s="10">
        <v>2.97</v>
      </c>
      <c r="G74" s="15" t="s">
        <v>172</v>
      </c>
      <c r="H74" s="1"/>
      <c r="I74" s="1"/>
    </row>
    <row r="75" spans="1:9" ht="15.75" thickBot="1" x14ac:dyDescent="0.3">
      <c r="A75" s="1">
        <f t="shared" si="1"/>
        <v>21</v>
      </c>
      <c r="B75" s="9" t="s">
        <v>180</v>
      </c>
      <c r="C75" s="21" t="s">
        <v>174</v>
      </c>
      <c r="D75" s="9" t="s">
        <v>183</v>
      </c>
      <c r="E75" s="9">
        <v>1</v>
      </c>
      <c r="F75" s="10">
        <v>1.53</v>
      </c>
      <c r="G75" s="9"/>
      <c r="H75" s="1"/>
      <c r="I75" s="1"/>
    </row>
    <row r="76" spans="1:9" ht="15.75" thickBot="1" x14ac:dyDescent="0.3">
      <c r="A76" s="1">
        <f t="shared" si="1"/>
        <v>22</v>
      </c>
      <c r="B76" s="9" t="s">
        <v>184</v>
      </c>
      <c r="C76" s="21" t="s">
        <v>185</v>
      </c>
      <c r="D76" s="9" t="s">
        <v>186</v>
      </c>
      <c r="E76" s="9">
        <v>1</v>
      </c>
      <c r="F76" s="10">
        <v>4.8600000000000003</v>
      </c>
      <c r="G76" s="11" t="s">
        <v>14</v>
      </c>
      <c r="H76" s="1"/>
      <c r="I76" s="1"/>
    </row>
    <row r="77" spans="1:9" ht="15.75" thickBot="1" x14ac:dyDescent="0.3">
      <c r="A77" s="1">
        <f t="shared" si="1"/>
        <v>23</v>
      </c>
      <c r="B77" s="9" t="s">
        <v>187</v>
      </c>
      <c r="C77" s="21" t="s">
        <v>185</v>
      </c>
      <c r="D77" s="9" t="s">
        <v>186</v>
      </c>
      <c r="E77" s="9">
        <v>1</v>
      </c>
      <c r="F77" s="10">
        <v>4.8600000000000003</v>
      </c>
      <c r="G77" s="11" t="s">
        <v>14</v>
      </c>
      <c r="H77" s="1"/>
      <c r="I77" s="1"/>
    </row>
    <row r="78" spans="1:9" ht="15.75" thickBot="1" x14ac:dyDescent="0.3">
      <c r="A78" s="1">
        <f t="shared" si="1"/>
        <v>24</v>
      </c>
      <c r="B78" s="9" t="s">
        <v>188</v>
      </c>
      <c r="C78" s="21" t="s">
        <v>185</v>
      </c>
      <c r="D78" s="9" t="s">
        <v>186</v>
      </c>
      <c r="E78" s="9">
        <v>1</v>
      </c>
      <c r="F78" s="10">
        <v>4.8600000000000003</v>
      </c>
      <c r="G78" s="11" t="s">
        <v>14</v>
      </c>
      <c r="H78" s="1"/>
      <c r="I78" s="1"/>
    </row>
    <row r="79" spans="1:9" ht="16.5" thickBot="1" x14ac:dyDescent="0.3">
      <c r="A79" s="1"/>
      <c r="B79" s="27" t="s">
        <v>189</v>
      </c>
      <c r="C79" s="28"/>
      <c r="D79" s="28"/>
      <c r="E79" s="29"/>
      <c r="F79" s="9"/>
      <c r="G79" s="11" t="s">
        <v>14</v>
      </c>
      <c r="H79" s="1"/>
      <c r="I79" s="1"/>
    </row>
    <row r="80" spans="1:9" ht="15.75" thickBot="1" x14ac:dyDescent="0.3">
      <c r="A80" s="1">
        <f t="shared" si="1"/>
        <v>1</v>
      </c>
      <c r="B80" s="9" t="s">
        <v>190</v>
      </c>
      <c r="C80" s="21" t="s">
        <v>174</v>
      </c>
      <c r="D80" s="9" t="s">
        <v>191</v>
      </c>
      <c r="E80" s="9">
        <v>1</v>
      </c>
      <c r="F80" s="10">
        <v>0.94</v>
      </c>
      <c r="G80" s="15" t="s">
        <v>172</v>
      </c>
      <c r="H80" s="1"/>
      <c r="I80" s="1"/>
    </row>
    <row r="81" spans="1:9" ht="15.75" thickBot="1" x14ac:dyDescent="0.3">
      <c r="A81" s="1">
        <f t="shared" si="1"/>
        <v>2</v>
      </c>
      <c r="B81" s="9" t="s">
        <v>192</v>
      </c>
      <c r="C81" s="21" t="s">
        <v>174</v>
      </c>
      <c r="D81" s="9" t="s">
        <v>193</v>
      </c>
      <c r="E81" s="9">
        <v>1</v>
      </c>
      <c r="F81" s="10">
        <v>1.38</v>
      </c>
      <c r="G81" s="15" t="s">
        <v>172</v>
      </c>
      <c r="H81" s="1"/>
      <c r="I81" s="1"/>
    </row>
    <row r="82" spans="1:9" ht="15.75" thickBot="1" x14ac:dyDescent="0.3">
      <c r="A82" s="1">
        <f t="shared" si="1"/>
        <v>3</v>
      </c>
      <c r="B82" s="9" t="s">
        <v>194</v>
      </c>
      <c r="C82" s="21" t="s">
        <v>195</v>
      </c>
      <c r="D82" s="9" t="s">
        <v>196</v>
      </c>
      <c r="E82" s="9">
        <v>1</v>
      </c>
      <c r="F82" s="10">
        <v>0.7</v>
      </c>
      <c r="G82" s="11" t="s">
        <v>14</v>
      </c>
      <c r="H82" s="1"/>
      <c r="I82" s="1"/>
    </row>
    <row r="83" spans="1:9" ht="15.75" thickBot="1" x14ac:dyDescent="0.3">
      <c r="A83" s="1">
        <f t="shared" si="1"/>
        <v>4</v>
      </c>
      <c r="B83" s="9" t="s">
        <v>197</v>
      </c>
      <c r="C83" s="21" t="s">
        <v>198</v>
      </c>
      <c r="D83" s="9" t="s">
        <v>199</v>
      </c>
      <c r="E83" s="9">
        <v>1</v>
      </c>
      <c r="F83" s="10">
        <v>0.27</v>
      </c>
      <c r="G83" s="11" t="s">
        <v>14</v>
      </c>
      <c r="H83" s="1"/>
      <c r="I83" s="1"/>
    </row>
    <row r="84" spans="1:9" ht="15.75" thickBot="1" x14ac:dyDescent="0.3">
      <c r="A84" s="1">
        <f t="shared" si="1"/>
        <v>5</v>
      </c>
      <c r="B84" s="9" t="s">
        <v>200</v>
      </c>
      <c r="C84" s="9" t="s">
        <v>201</v>
      </c>
      <c r="D84" s="9"/>
      <c r="E84" s="9">
        <v>3</v>
      </c>
      <c r="F84" s="10">
        <v>1</v>
      </c>
      <c r="G84" s="11" t="s">
        <v>14</v>
      </c>
      <c r="H84" s="1"/>
      <c r="I84" s="1"/>
    </row>
    <row r="85" spans="1:9" ht="15.75" thickBot="1" x14ac:dyDescent="0.3">
      <c r="A85" s="1"/>
      <c r="B85" s="9"/>
      <c r="C85" s="9"/>
      <c r="D85" s="9"/>
      <c r="E85" s="1"/>
      <c r="F85" s="9"/>
      <c r="G85" s="9"/>
      <c r="H85" s="1"/>
      <c r="I85" s="1"/>
    </row>
    <row r="86" spans="1:9" ht="15.75" thickBot="1" x14ac:dyDescent="0.3">
      <c r="A86" s="16" t="s">
        <v>202</v>
      </c>
      <c r="B86" s="25"/>
      <c r="C86" s="25"/>
      <c r="D86" s="25"/>
      <c r="E86" s="17"/>
      <c r="F86" s="18">
        <f>SUM(F5:F84)</f>
        <v>1800.17</v>
      </c>
      <c r="G86" s="25"/>
      <c r="H86" s="17"/>
      <c r="I86" s="19"/>
    </row>
    <row r="87" spans="1:9" ht="15.75" thickBot="1" x14ac:dyDescent="0.3">
      <c r="A87" s="1"/>
      <c r="B87" s="9"/>
      <c r="C87" s="9"/>
      <c r="D87" s="9"/>
      <c r="E87" s="1"/>
      <c r="F87" s="9"/>
      <c r="G87" s="9"/>
      <c r="H87" s="1"/>
      <c r="I87" s="2"/>
    </row>
    <row r="88" spans="1:9" ht="15.75" thickBot="1" x14ac:dyDescent="0.3">
      <c r="A88" s="3" t="s">
        <v>203</v>
      </c>
      <c r="B88" s="20"/>
      <c r="C88" s="20"/>
      <c r="D88" s="20"/>
      <c r="E88" s="4"/>
      <c r="F88" s="20"/>
      <c r="G88" s="20"/>
      <c r="H88" s="4"/>
      <c r="I88" s="5"/>
    </row>
    <row r="89" spans="1:9" ht="39.75" thickBot="1" x14ac:dyDescent="0.3">
      <c r="A89" s="6" t="s">
        <v>1</v>
      </c>
      <c r="B89" s="6" t="s">
        <v>2</v>
      </c>
      <c r="C89" s="6" t="s">
        <v>3</v>
      </c>
      <c r="D89" s="6" t="s">
        <v>4</v>
      </c>
      <c r="E89" s="6" t="s">
        <v>5</v>
      </c>
      <c r="F89" s="6" t="s">
        <v>6</v>
      </c>
      <c r="G89" s="7" t="s">
        <v>7</v>
      </c>
      <c r="H89" s="6" t="s">
        <v>8</v>
      </c>
      <c r="I89" s="8" t="s">
        <v>9</v>
      </c>
    </row>
    <row r="90" spans="1:9" ht="16.5" thickBot="1" x14ac:dyDescent="0.3">
      <c r="A90" s="1"/>
      <c r="B90" s="30" t="s">
        <v>204</v>
      </c>
      <c r="C90" s="31"/>
      <c r="D90" s="31"/>
      <c r="E90" s="32"/>
      <c r="F90" s="9"/>
      <c r="G90" s="9"/>
      <c r="H90" s="1"/>
      <c r="I90" s="1"/>
    </row>
    <row r="91" spans="1:9" ht="15.75" thickBot="1" x14ac:dyDescent="0.3">
      <c r="A91" s="1">
        <v>1</v>
      </c>
      <c r="B91" s="9" t="s">
        <v>205</v>
      </c>
      <c r="C91" s="22" t="s">
        <v>206</v>
      </c>
      <c r="D91" s="9"/>
      <c r="E91" s="9">
        <v>1</v>
      </c>
      <c r="F91" s="10">
        <v>865.64</v>
      </c>
      <c r="G91" s="11" t="s">
        <v>14</v>
      </c>
      <c r="H91" s="1"/>
      <c r="I91" s="1"/>
    </row>
    <row r="92" spans="1:9" ht="15.75" thickBot="1" x14ac:dyDescent="0.3">
      <c r="A92" s="1">
        <v>2</v>
      </c>
      <c r="B92" s="9" t="s">
        <v>207</v>
      </c>
      <c r="C92" s="21" t="s">
        <v>208</v>
      </c>
      <c r="D92" s="9"/>
      <c r="E92" s="9">
        <v>1</v>
      </c>
      <c r="F92" s="10">
        <v>70</v>
      </c>
      <c r="G92" s="11" t="s">
        <v>14</v>
      </c>
      <c r="H92" s="1"/>
      <c r="I92" s="1"/>
    </row>
    <row r="93" spans="1:9" ht="16.5" thickBot="1" x14ac:dyDescent="0.3">
      <c r="A93" s="1"/>
      <c r="B93" s="27" t="s">
        <v>209</v>
      </c>
      <c r="C93" s="28"/>
      <c r="D93" s="28"/>
      <c r="E93" s="29"/>
      <c r="F93" s="9"/>
      <c r="G93" s="11" t="s">
        <v>14</v>
      </c>
      <c r="H93" s="1"/>
      <c r="I93" s="1"/>
    </row>
    <row r="94" spans="1:9" ht="15.75" thickBot="1" x14ac:dyDescent="0.3">
      <c r="A94" s="1">
        <v>1</v>
      </c>
      <c r="B94" s="9" t="s">
        <v>210</v>
      </c>
      <c r="C94" s="21" t="s">
        <v>211</v>
      </c>
      <c r="D94" s="9"/>
      <c r="E94" s="9">
        <v>1</v>
      </c>
      <c r="F94" s="10">
        <v>229</v>
      </c>
      <c r="G94" s="11" t="s">
        <v>14</v>
      </c>
      <c r="H94" s="1"/>
      <c r="I94" s="1"/>
    </row>
    <row r="95" spans="1:9" ht="30.75" thickBot="1" x14ac:dyDescent="0.3">
      <c r="A95" s="1">
        <f>A94+1</f>
        <v>2</v>
      </c>
      <c r="B95" s="9" t="s">
        <v>212</v>
      </c>
      <c r="C95" s="21" t="s">
        <v>213</v>
      </c>
      <c r="D95" s="9"/>
      <c r="E95" s="9">
        <v>10</v>
      </c>
      <c r="F95" s="10">
        <v>63.4</v>
      </c>
      <c r="G95" s="11" t="s">
        <v>14</v>
      </c>
      <c r="H95" s="1"/>
      <c r="I95" s="1"/>
    </row>
    <row r="96" spans="1:9" ht="15.75" thickBot="1" x14ac:dyDescent="0.3">
      <c r="A96" s="1">
        <f t="shared" ref="A96:A103" si="2">A95+1</f>
        <v>3</v>
      </c>
      <c r="B96" s="9" t="s">
        <v>214</v>
      </c>
      <c r="C96" s="21" t="s">
        <v>215</v>
      </c>
      <c r="D96" s="9"/>
      <c r="E96" s="9">
        <v>2</v>
      </c>
      <c r="F96" s="10">
        <v>32.950000000000003</v>
      </c>
      <c r="G96" s="11" t="s">
        <v>14</v>
      </c>
      <c r="H96" s="1"/>
      <c r="I96" s="1"/>
    </row>
    <row r="97" spans="1:9" ht="15.75" thickBot="1" x14ac:dyDescent="0.3">
      <c r="A97" s="1">
        <f t="shared" si="2"/>
        <v>4</v>
      </c>
      <c r="B97" s="9" t="s">
        <v>216</v>
      </c>
      <c r="C97" s="21" t="s">
        <v>217</v>
      </c>
      <c r="D97" s="9"/>
      <c r="E97" s="9">
        <v>1</v>
      </c>
      <c r="F97" s="10">
        <v>24.26</v>
      </c>
      <c r="G97" s="11" t="s">
        <v>14</v>
      </c>
      <c r="H97" s="1"/>
      <c r="I97" s="1"/>
    </row>
    <row r="98" spans="1:9" ht="15.75" thickBot="1" x14ac:dyDescent="0.3">
      <c r="A98" s="1">
        <f t="shared" si="2"/>
        <v>5</v>
      </c>
      <c r="B98" s="9" t="s">
        <v>218</v>
      </c>
      <c r="C98" s="21" t="s">
        <v>219</v>
      </c>
      <c r="D98" s="9"/>
      <c r="E98" s="9">
        <v>1</v>
      </c>
      <c r="F98" s="10">
        <v>20.37</v>
      </c>
      <c r="G98" s="11" t="s">
        <v>14</v>
      </c>
      <c r="H98" s="1"/>
      <c r="I98" s="1"/>
    </row>
    <row r="99" spans="1:9" ht="15.75" thickBot="1" x14ac:dyDescent="0.3">
      <c r="A99" s="1">
        <f t="shared" si="2"/>
        <v>6</v>
      </c>
      <c r="B99" s="9" t="s">
        <v>220</v>
      </c>
      <c r="C99" s="24" t="s">
        <v>221</v>
      </c>
      <c r="D99" s="9"/>
      <c r="E99" s="9">
        <v>1</v>
      </c>
      <c r="F99" s="10">
        <v>8.48</v>
      </c>
      <c r="G99" s="11" t="s">
        <v>14</v>
      </c>
      <c r="H99" s="1"/>
      <c r="I99" s="1"/>
    </row>
    <row r="100" spans="1:9" ht="15.75" thickBot="1" x14ac:dyDescent="0.3">
      <c r="A100" s="1">
        <f t="shared" si="2"/>
        <v>7</v>
      </c>
      <c r="B100" s="9" t="s">
        <v>222</v>
      </c>
      <c r="C100" s="21" t="s">
        <v>223</v>
      </c>
      <c r="D100" s="9"/>
      <c r="E100" s="9">
        <v>1</v>
      </c>
      <c r="F100" s="10">
        <v>20</v>
      </c>
      <c r="G100" s="11" t="s">
        <v>14</v>
      </c>
      <c r="H100" s="1"/>
      <c r="I100" s="1"/>
    </row>
    <row r="101" spans="1:9" ht="15.75" thickBot="1" x14ac:dyDescent="0.3">
      <c r="A101" s="1">
        <f t="shared" si="2"/>
        <v>8</v>
      </c>
      <c r="B101" s="9" t="s">
        <v>224</v>
      </c>
      <c r="C101" s="21" t="s">
        <v>225</v>
      </c>
      <c r="D101" s="9"/>
      <c r="E101" s="9">
        <v>1</v>
      </c>
      <c r="F101" s="10">
        <v>8</v>
      </c>
      <c r="G101" s="11" t="s">
        <v>14</v>
      </c>
      <c r="H101" s="1"/>
      <c r="I101" s="1"/>
    </row>
    <row r="102" spans="1:9" ht="15.75" thickBot="1" x14ac:dyDescent="0.3">
      <c r="A102" s="1">
        <f t="shared" si="2"/>
        <v>9</v>
      </c>
      <c r="B102" s="9" t="s">
        <v>226</v>
      </c>
      <c r="C102" s="21" t="s">
        <v>227</v>
      </c>
      <c r="D102" s="9"/>
      <c r="E102" s="9">
        <v>1</v>
      </c>
      <c r="F102" s="10">
        <v>40</v>
      </c>
      <c r="G102" s="11" t="s">
        <v>14</v>
      </c>
      <c r="H102" s="1"/>
      <c r="I102" s="1"/>
    </row>
    <row r="103" spans="1:9" ht="15.75" thickBot="1" x14ac:dyDescent="0.3">
      <c r="A103" s="1">
        <f t="shared" si="2"/>
        <v>10</v>
      </c>
      <c r="B103" s="9" t="s">
        <v>228</v>
      </c>
      <c r="C103" s="21" t="s">
        <v>229</v>
      </c>
      <c r="D103" s="9"/>
      <c r="E103" s="9">
        <v>1</v>
      </c>
      <c r="F103" s="10">
        <v>80</v>
      </c>
      <c r="G103" s="11" t="s">
        <v>14</v>
      </c>
      <c r="H103" s="1"/>
      <c r="I103" s="1"/>
    </row>
    <row r="104" spans="1:9" ht="15.75" thickBot="1" x14ac:dyDescent="0.3">
      <c r="A104" s="1"/>
      <c r="B104" s="9"/>
      <c r="C104" s="9"/>
      <c r="D104" s="9"/>
      <c r="E104" s="1"/>
      <c r="F104" s="9"/>
      <c r="G104" s="9"/>
      <c r="H104" s="1"/>
      <c r="I104" s="1"/>
    </row>
    <row r="105" spans="1:9" ht="15.75" thickBot="1" x14ac:dyDescent="0.3">
      <c r="A105" s="1"/>
      <c r="B105" s="9"/>
      <c r="C105" s="9"/>
      <c r="D105" s="9"/>
      <c r="E105" s="1"/>
      <c r="F105" s="9"/>
      <c r="G105" s="9"/>
      <c r="H105" s="1"/>
      <c r="I105" s="2"/>
    </row>
    <row r="106" spans="1:9" ht="15.75" thickBot="1" x14ac:dyDescent="0.3">
      <c r="A106" s="16" t="s">
        <v>202</v>
      </c>
      <c r="B106" s="25"/>
      <c r="C106" s="25"/>
      <c r="D106" s="25"/>
      <c r="E106" s="17"/>
      <c r="F106" s="18">
        <f>SUM(F86:F105)</f>
        <v>3262.27</v>
      </c>
      <c r="G106" s="25"/>
      <c r="H106" s="17"/>
      <c r="I106" s="19"/>
    </row>
    <row r="107" spans="1:9" ht="15.75" thickBot="1" x14ac:dyDescent="0.3">
      <c r="A107" s="1"/>
      <c r="B107" s="9"/>
      <c r="C107" s="9"/>
      <c r="D107" s="9"/>
      <c r="E107" s="1"/>
      <c r="F107" s="9"/>
      <c r="G107" s="9"/>
      <c r="H107" s="1"/>
      <c r="I107" s="2"/>
    </row>
    <row r="108" spans="1:9" ht="27" thickBot="1" x14ac:dyDescent="0.3">
      <c r="A108" s="16" t="s">
        <v>230</v>
      </c>
      <c r="B108" s="25"/>
      <c r="C108" s="25"/>
      <c r="D108" s="25"/>
      <c r="E108" s="17"/>
      <c r="F108" s="18">
        <f>F106</f>
        <v>3262.27</v>
      </c>
      <c r="G108" s="25"/>
      <c r="H108" s="17"/>
      <c r="I108" s="19"/>
    </row>
  </sheetData>
  <mergeCells count="10">
    <mergeCell ref="B90:E90"/>
    <mergeCell ref="B93:E93"/>
    <mergeCell ref="A2:I2"/>
    <mergeCell ref="B4:E4"/>
    <mergeCell ref="B25:E25"/>
    <mergeCell ref="B54:E54"/>
    <mergeCell ref="B62:E62"/>
    <mergeCell ref="B66:E66"/>
    <mergeCell ref="B68:E68"/>
    <mergeCell ref="B79:E79"/>
  </mergeCells>
  <hyperlinks>
    <hyperlink ref="C5" r:id="rId1" display="https://www.digikey.ca/en/products/detail/texas-instruments/ADS8684IDBTR/5012064?s=N4IgTCBcDa4JwDYC0BmOAOA7AViQRiQDkARAAhAF0BfIA" xr:uid="{B0CC648B-B452-4744-B6D9-7565C398206D}"/>
    <hyperlink ref="C6" r:id="rId2" display="https://www.digikey.ca/en/products/detail/amphenol-cs-fci/54602-908LF/1001360?s=N4IgTCBcDaIKwBYBsAGMBaAnCgHAGQDEQBdAXyA" xr:uid="{223F1E48-289A-494E-9584-D1E0B49FF4C3}"/>
    <hyperlink ref="C7" r:id="rId3" display="https://www.digikey.ca/en/products/detail/onsemi/MC74VHC1G04DBVT1G/10064694?s=N4IgTCBcDaILIGEDsAWAagCQQRgOIAYUARAITQBU8QBdAXyA" xr:uid="{3D2D63D0-4FE5-4DE6-A2F0-9AFCA32249E2}"/>
    <hyperlink ref="C8" r:id="rId4" display="https://www.digikey.ca/en/products/detail/molex/0039301102/930336?s=N4IgTCBcDaIOoFkAEYCMSDMA2A7AWgDkAREAXQF8g" xr:uid="{C8EDEB33-6A29-49EB-AEC2-7FBE3C190C7F}"/>
    <hyperlink ref="C9" r:id="rId5" display="https://www.digikey.ca/en/products/detail/molex/0039012100/61385?s=N4IgTCBcDaIOoFkC0BmA7EgDAFiQOQBEQBdAXyA" xr:uid="{3627FD2D-4170-411E-8C1D-7B32EBC70998}"/>
    <hyperlink ref="C10" r:id="rId6" display="https://www.digikey.ca/en/products/detail/stmicroelectronics/L78L12ABD-TR/1038284?s=N4IgTCBcDaICwE4DsBaJSBsqCMKByAIiALoC%2BQA" xr:uid="{4E24BD14-49FB-43F6-9001-51A0D41B1656}"/>
    <hyperlink ref="C11" r:id="rId7" display="https://www.digikey.ca/en/products/detail/stmicroelectronics/L78M05CV/634721" xr:uid="{48EF2CF2-90A2-453A-BBDD-41CE405E8DA0}"/>
    <hyperlink ref="C12" r:id="rId8" display="https://www.digikey.ca/en/products/detail/boyd-laconia-llc/530102B00150G/1216352?s=N4IgTCBcDaIBIGUC0BmALCpA5AIiAugL5A" xr:uid="{8BC8F412-06E7-4EF1-A562-6720AB7C2614}"/>
    <hyperlink ref="C13" r:id="rId9" display="https://www.digikey.ca/en/products/detail/texas-instruments/REF5025AIDR/1900163?s=N4IgTCBcDa4JwDYC0BmOBGBBWJ6kDkAREAXQF8g" xr:uid="{4AB7DAAD-8DDC-4136-B58C-07B6EC409ABE}"/>
    <hyperlink ref="C14" r:id="rId10" display="https://www.digikey.ca/en/products/detail/texas-instruments/OPA549T/307860?s=N4IgTCBcDaIPIAUCCBWALATgCoFoByAIiALoC%2BQA" xr:uid="{91A71938-F644-475F-855B-1BF8558E6627}"/>
    <hyperlink ref="C15" r:id="rId11" display="https://www.digikey.ca/en/products/detail/molex/0026013115/4119889?s=N4IgTCBcDaIOoFkC0BGAzClEC6BfIA" xr:uid="{91762000-2D39-4A27-B755-1D8F59850F67}"/>
    <hyperlink ref="C16" r:id="rId12" display="https://www.digikey.ca/en/products/detail/molex/0039012040/61376?s=N4IgTCBcDaIOoFkAEBmA7ABgIwFoByAIiALoC%2BQA" xr:uid="{13E46841-D06F-432D-B754-AE3DFEEB0E69}"/>
    <hyperlink ref="C17" r:id="rId13" display="https://www.digikey.ca/en/products/detail/keystone-electronics/25522/1532195?s=N4IgTCBcDaIMwDYC0YCsqxiQOQCIgF0BfIA" xr:uid="{C707B462-8409-4AA8-A19A-AF804D5BDF4F}"/>
    <hyperlink ref="C18" r:id="rId14" display="https://www.digikey.ca/en/products/detail/analog-devices-inc/ADUM4150BRIZ/5031784" xr:uid="{A238D0F5-E30A-40D0-AF7E-DBFB49279B84}"/>
    <hyperlink ref="C19" r:id="rId15" display="https://www.digikey.ca/en/products/detail/w%C3%BCrth-elektronik/709940400/9488342?s=N4IgTCBcDaIOwGYwFoCMYBsyEA5kDkAREAXQF8g" xr:uid="{73CDCD32-EE5B-4EC5-BD26-FE6A17E95467}"/>
    <hyperlink ref="C20" r:id="rId16" display="https://www.digikey.ca/en/products/detail/texas-instruments/DAC80504RTER/9658052?s=N4IgTCBcDa4JwDYC0BWAjABgCwGYlqQDkAREAXQF8g" xr:uid="{7388D21F-13E5-46A3-86A2-C1C19E566850}"/>
    <hyperlink ref="C21" r:id="rId17" display="https://www.digikey.ca/en/products/detail/boyd-laconia-llc/115000F00000G/1625727?s=N4IgTCBcDaIIxwKwAZUDFWYOIFoByAIiALoC%2BQA" xr:uid="{A521C21B-8C0E-47A8-ABC4-B1F952BFC71D}"/>
    <hyperlink ref="C22" r:id="rId18" display="https://www.digikey.ca/en/products/detail/molex/0039000047/61454?s=N4IgTCBcDaIOoFkAEYCsAGAzAWgHIBEQBdAXyA" xr:uid="{66AB91FD-DF57-4156-A70E-E7458D77B859}"/>
    <hyperlink ref="C23" r:id="rId19" display="https://www.digikey.ca/en/products/detail/texas-instruments/INA149AIDR/2795693?s=N4IgTCBcDa4JwDYDMAGFYAcBaMWByAIiALoC%2BQA" xr:uid="{D153A6BB-315E-49BD-AC55-D8D0606D222A}"/>
    <hyperlink ref="C24" r:id="rId20" display="https://www.digikey.ca/en/products/detail/w%C3%BCrth-elektronik/150120BS75000/4489933" xr:uid="{05E86B60-D1B1-45DB-999F-1C8CEED5E8EF}"/>
    <hyperlink ref="C26" r:id="rId21" display="https://www.digikey.ca/en/products/detail/kemet/C0805C102J5GALTU/2211672" xr:uid="{5EB56BA0-1904-473C-B88B-A567838FD0C8}"/>
    <hyperlink ref="C27" r:id="rId22" display="https://www.digikey.ca/en/products/detail/kemet/C0805C105J3RECAUTO/8646591" xr:uid="{1180F5F5-1BC7-45C0-8E0F-C69F34FF60FB}"/>
    <hyperlink ref="C28" r:id="rId23" display="https://www.digikey.ca/en/products/detail/stackpole-electronics-inc/RNCF0805BTE300R/6239871" xr:uid="{F1FE9349-31A6-4F71-83E8-95BD2ABD9E73}"/>
    <hyperlink ref="C29" r:id="rId24" display="https://www.digikey.ca/en/products/detail/vpg-foil-resistors/Y40225K00000T9R/6027797" xr:uid="{48AE9F26-B7ED-482E-977B-0083C3E753BD}"/>
    <hyperlink ref="C30" r:id="rId25" display="https://www.digikey.ca/en/products/detail/vishay-dale-thin-film/PLTT0805Z5002QGT5/2552100" xr:uid="{6FC704C5-B344-40FA-9531-BF6790692892}"/>
    <hyperlink ref="C31" r:id="rId26" display="https://www.digikey.ca/en/products/detail/kemet/C0805C224K5RACTU/754753" xr:uid="{CB3DCC15-CDEB-4E78-9A30-C3064694747D}"/>
    <hyperlink ref="C32" r:id="rId27" display="https://www.digikey.ca/en/products/detail/holy-stone-enterprise-co-ltd/C0805B226M025T/16895038" xr:uid="{471E3B4D-3328-47B6-B7FE-040EB5781C36}"/>
    <hyperlink ref="C33" r:id="rId28" display="https://www.digikey.ca/en/products/detail/kemet/C0805C104K3RACTU/411167" xr:uid="{97037311-F5F2-482A-AD4D-F8DD3B5D808E}"/>
    <hyperlink ref="C35" r:id="rId29" display="https://www.digikey.ca/en/products/detail/nichicon/UCD1V101MCL6GS/2549719?s=N4IgTCBcDaICwE4DMBaAbHMAGFBGFAcgCIgC6AvkA" xr:uid="{D415F2CD-9920-4EE4-B2C9-16AEF29699D2}"/>
    <hyperlink ref="C36" r:id="rId30" display="https://www.digikey.ca/en/products/detail/adam-tech/PH2-08-UA/9830443" xr:uid="{4061097B-C0E8-4476-A709-3D6A8FC15D4E}"/>
    <hyperlink ref="C37" r:id="rId31" display="https://www.digikey.ca/en/products/detail/adam-tech/PH2-08-UA/9830443" xr:uid="{F77531C6-D7F9-464A-AF52-633DE82DAD36}"/>
    <hyperlink ref="C38" r:id="rId32" display="https://www.digikey.ca/en/products/detail/koa-speer-electronics-inc/RN73R2ATTD1002B10/10023060" xr:uid="{FB77DF89-0ED9-43EB-8287-B490FF33F46F}"/>
    <hyperlink ref="C39" r:id="rId33" display="https://www.digikey.ca/en/products/detail/koa-speer-electronics-inc/RN73R2ATTD1002B10/10023060" xr:uid="{960B3927-2774-405E-A5B7-3D7B6DA8CABC}"/>
    <hyperlink ref="C40" r:id="rId34" display="https://www.digikey.ca/en/products/detail/kemet/C0805C103J3GECAUTO/8647361" xr:uid="{FF393CBB-54D1-4DA2-AFB6-04BF3AE7C3B6}"/>
    <hyperlink ref="C41" r:id="rId35" display="https://www.digikey.ca/en/products/detail/murata-electronics/GRM21BZ71E106KE15L/13904911" xr:uid="{49BDC03D-D46C-4ECF-93B2-FE6C9E282C3D}"/>
    <hyperlink ref="C42" r:id="rId36" display="https://www.digikey.ca/en/products/detail/kemet/C0805C151J2GACTU/2211941" xr:uid="{93093A84-D161-4524-B71C-74152A4963EF}"/>
    <hyperlink ref="C43" r:id="rId37" display="https://www.digikey.ca/en/products/detail/stackpole-electronics-inc/RNCF0805TKY1K00/2269700" xr:uid="{29470C83-52AC-43BD-B9FB-0304B2543F6C}"/>
    <hyperlink ref="C44" r:id="rId38" display="https://www.digikey.ca/en/products/detail/kemet/C0805C102J5GALTU/2211672" xr:uid="{473DCA80-1818-4791-891A-9CD434C7485C}"/>
    <hyperlink ref="C45" r:id="rId39" display="https://www.digikey.ca/en/products/detail/te-connectivity-passive-product/5-1625868-6/4033848" xr:uid="{4E3D6930-2EB7-49A7-AFAB-FA343CAE2F98}"/>
    <hyperlink ref="C46" r:id="rId40" display="https://www.digikey.ca/en/products/detail/bourns-inc/PWR163S-25-R200FE/4699604" xr:uid="{0A299604-C170-43AF-8CB2-5EC7A911D5DE}"/>
    <hyperlink ref="C47" r:id="rId41" display="https://www.digikey.ca/en/products/detail/susumu/RG2012L-223-L-T05/3738069" xr:uid="{B970C00A-5978-4F03-BC79-FE76F40079FA}"/>
    <hyperlink ref="C48" r:id="rId42" display="https://www.digikey.ca/en/products/detail/susumu/RG2012L-332-L-T05/3738064" xr:uid="{4695C11D-02AF-4419-ACE8-CF6DEE55C4EC}"/>
    <hyperlink ref="C49" r:id="rId43" display="https://www.digikey.ca/en/products/detail/kemet/T495C226K025ATE275/9642245?s=N4IgTCBcDaIMwE4EFoCMAOddVuQOQBEQBdAXyA" xr:uid="{8B851002-2310-4CD1-B909-5C7A6C208C20}"/>
    <hyperlink ref="C50" r:id="rId44" display="https://www.digikey.ca/en/products/detail/stackpole-electronics-inc/RNCF0805BTC2K00/1709144" xr:uid="{215409AC-9423-4EEB-B139-E4892F4F7F18}"/>
    <hyperlink ref="C51" r:id="rId45" display="https://www.digikey.ca/en/products/detail/panasonic-industry/ERA-6AEB512V/1465766" xr:uid="{C222D1A0-A4B3-4C5A-8B80-C4BB164CC054}"/>
    <hyperlink ref="C52" r:id="rId46" display="https://www.digikey.ca/en/products/detail/panasonic-industry/ERA-6AEB513V/1465790" xr:uid="{A9CC747D-DF59-4FBE-BF78-243C52B43315}"/>
    <hyperlink ref="C53" r:id="rId47" display="https://jlcpcb.com/user-center/orders/" xr:uid="{56D738AB-FDB0-4A4F-9E8A-E8D3E0EA630B}"/>
    <hyperlink ref="C55" r:id="rId48" display="https://www.digikey.ca/en/products/detail/adam-tech/PH1-10-UA/9830653" xr:uid="{EE0E4177-1F94-4778-AC03-3529AA67EDDD}"/>
    <hyperlink ref="C56" r:id="rId49" display="https://www.digikey.ca/en/products/detail/olimex-ltd/KAPTON-TAPE10MM/19204468" xr:uid="{36856EE4-9A0C-430F-A0E6-E879FDFC0444}"/>
    <hyperlink ref="C57" r:id="rId50" display="https://www.digikey.ca/en/products/detail/molex/0192030384/3187479" xr:uid="{A9CDE97A-3B5A-41EA-98B8-95E9E15A776E}"/>
    <hyperlink ref="C58" r:id="rId51" display="https://www.digikey.ca/en/products/detail/igus/CF211-05-02-02/21280716" xr:uid="{7A49468C-3BF5-41EC-ACA5-CEFEBFFE4B63}"/>
    <hyperlink ref="C59" r:id="rId52" display="https://www.digikey.ca/en/products/detail/mueller-electric-co/AI-50086N/17762643" xr:uid="{FF4F1C72-EBA5-4B9B-893A-79105213B54C}"/>
    <hyperlink ref="C60" r:id="rId53" display="https://www.digikey.ca/en/products/detail/molex/0387700104/362488" xr:uid="{BEF64C47-34BA-4B94-A6C2-07C0B8296BB5}"/>
    <hyperlink ref="C61" r:id="rId54" display="https://www.digikey.ca/en/products/detail/molex/0387236502/2424514" xr:uid="{4F24BCA5-4F1D-428E-9320-059DD0026D26}"/>
    <hyperlink ref="C63" r:id="rId55" display="https://www.digikey.ca/en/products/detail/codaca/CPER3231-101MC/16516449?s=N4IgTCBcDaICwAY5wLQGEAKBRASgZjDwEYUiEiBZNFAOQBEQBdAXyA" xr:uid="{AAF58969-3F9D-4B09-AC0B-992D5F79BE9E}"/>
    <hyperlink ref="C64" r:id="rId56" display="https://www.digikey.ca/en/products/detail/murata-electronics/GCJ55DR7LV474KW01K/16821311?s=N4IgTCBcDaICwE4AMBaA4gYQFIFYcBEAlAdgBkA1OYuAaQHUkBGGjAFRQDl8QBdAXyA" xr:uid="{9EE83FA2-4D27-479C-874C-F139BB7BEA86}"/>
    <hyperlink ref="C65" r:id="rId57" display="https://www.amazon.ca/LampVPath-Prototype-Breadboard-Universal-Printed/dp/B07Y3NYX9C/ref=sr_1_16?dib=eyJ2IjoiMSJ9.G7lbTVqdpq49G-MgIwNTk_ox2l2O0JpFHTvdrXjsdtdREwYobzj_z3s7QvXdZB5vwngPyNK4mFuEKqlNkxCLPITzBDRkKB7oprzfI_gIbGTHVJZxAqsxaYD0NG3Bp4gFA5ZKvxlPYEllnvPscVyTD0YLDIo8alcMz8gB95k7eYMZ-doAUnQ8JhZAgia_e025aZmPoV1lM_L1xIxQvWkYIopDrU2MWOvMQlK8s7bd2NERaKsJkVvfHaCbA3dQfFYafxWfSNOSRvdKf6J1JKxc7MENTg35jsAku1sZZPbaSwQ.q-CxShBdy5kJ5JTtAk7f4NNZMXdRs4bKjB9Tr8YP-2E&amp;dib_tag=se&amp;gad_source=1&amp;hvadid=506547182299&amp;hvdev=c&amp;hvexpln=0&amp;hvlocphy=9000411&amp;hvnetw=g&amp;hvocijid=13185368353273938600--&amp;hvqmt=b&amp;hvrand=13185368353273938600&amp;hvtargid=kwd-1087978368&amp;hydadcr=27412_10624843&amp;keywords=pcb%2Bprototype%2Bboard&amp;mcid=aaac9432017233b99e3190ec728b915f&amp;qid=1779727565&amp;sr=8-16&amp;th=1" xr:uid="{4D4E94D9-94BE-42E0-ABD7-2E1E2FA10D99}"/>
    <hyperlink ref="C67" r:id="rId58" display="https://kaito.us/products/tekpower-tp1560e-dc-adjustable-switching-power-supply-15v-60a-digital-display?srsltid=AfmBOoqBXjUI9ggw7kVD4rQpmDBeXd40KrMPZ5c2QOkH-Be9BgI1Fe7g" xr:uid="{6B5CB6F3-61F5-4ED5-AE08-D7D140615B0A}"/>
    <hyperlink ref="C69" r:id="rId59" display="https://ca.store.bambulab.com/products/pla-basic-filament?variant=541209412732915753" xr:uid="{F962FB75-B47C-4B6C-915F-ADF40756363C}"/>
    <hyperlink ref="C70" r:id="rId60" display="https://ca.store.bambulab.com/products/pla-basic-filament?variant=541209412732915753" xr:uid="{66FF34EA-3AA1-41EF-B853-5BE3D19825B5}"/>
    <hyperlink ref="C71" r:id="rId61" display="https://ca.store.bambulab.com/products/pla-basic-filament?variant=541209412732915753" xr:uid="{0AAA1587-65A0-4375-B4AC-3C2AAD42D595}"/>
    <hyperlink ref="C72" r:id="rId62" display="https://ca.store.bambulab.com/products/pla-basic-filament?variant=541209412732915753" xr:uid="{540C5082-9E5B-4074-8443-AE25704FC5C7}"/>
    <hyperlink ref="C73" r:id="rId63" display="https://ca.store.bambulab.com/products/pla-basic-filament?variant=541209412732915753" xr:uid="{6FE18D6F-F1E8-47C4-8B92-32028458A710}"/>
    <hyperlink ref="C74" r:id="rId64" display="https://ca.store.bambulab.com/products/pla-basic-filament?variant=541209412732915753" xr:uid="{544B45A3-7143-435A-AAA2-1414504131CD}"/>
    <hyperlink ref="C75" r:id="rId65" display="https://ca.store.bambulab.com/products/pla-basic-filament?variant=541209412732915753" xr:uid="{1488ED47-623F-41C6-91D4-45166C63E033}"/>
    <hyperlink ref="C76" r:id="rId66" display="https://a.co/d/07C41tNc" xr:uid="{F7D99300-C4B5-4D81-A3AD-D3F4920AF6F8}"/>
    <hyperlink ref="C77" r:id="rId67" display="https://a.co/d/07C41tNc" xr:uid="{DDEF6A1D-21D1-4BA9-9477-064F223EF37E}"/>
    <hyperlink ref="C78" r:id="rId68" display="https://a.co/d/07C41tNc" xr:uid="{8366D9F7-88F1-42C7-9772-4BD7B26DBEEF}"/>
    <hyperlink ref="C80" r:id="rId69" display="https://ca.store.bambulab.com/products/pla-basic-filament?variant=541209412732915753" xr:uid="{9B42148C-3BFA-4559-8548-A329E7BE6750}"/>
    <hyperlink ref="C81" r:id="rId70" display="https://ca.store.bambulab.com/products/pla-basic-filament?variant=541209412732915753" xr:uid="{0908B5E1-8B45-4DCA-A000-085D0217D26B}"/>
    <hyperlink ref="C82" r:id="rId71" display="https://www.walmart.ca/en/ip/Gallo-Extra-Virgin-Olive-Oil-1L/876804?selectedSellerId=0&amp;wl13=3094" xr:uid="{7C03AACF-18CF-4ECD-B651-C20370287E39}"/>
    <hyperlink ref="C83" r:id="rId72" display="https://www.walmart.ca/en/ip/Gallo-Extra-Virgin-Olive-Oil-1L/876804?selectedSellerId=0&amp;wl13=3094" xr:uid="{F5BCE02D-F2DD-4FB1-B1B2-F071ED39AEC4}"/>
    <hyperlink ref="C91" r:id="rId73" display="https://www.digikey.com/en/products/detail/cal-test-electronics/CP6220-EU/5028258" xr:uid="{D158B762-12EF-44BC-882D-36DE07FCA744}"/>
    <hyperlink ref="C92" r:id="rId74" display="https://a.co/d/0icU8Mkl" xr:uid="{675F782F-8247-4C6C-9E30-8E2C9574B86F}"/>
    <hyperlink ref="C94" r:id="rId75" display="https://a.co/d/08kxdTzG" xr:uid="{993E4D48-295E-49B2-B558-FF8E1E1A7463}"/>
    <hyperlink ref="C95" r:id="rId76" display="https://a.co/d/00r4TfBN" xr:uid="{494D692A-A386-4EDA-A339-5B61B03808B5}"/>
    <hyperlink ref="C96" r:id="rId77" display="https://www.digikey.ca/en/products/detail/chip-quik-inc/SMD291NL/1160000" xr:uid="{CC0F9ED0-E006-492A-A0ED-2B272CAE4A42}"/>
    <hyperlink ref="C97" r:id="rId78" display="https://a.co/d/01XRYspq" xr:uid="{BAD70079-BF73-4CDE-8233-CB5B25613EBC}"/>
    <hyperlink ref="C98" r:id="rId79" display="https://a.co/d/0fMXR8Hr" xr:uid="{FB08F6BD-66D0-48E3-8882-A4AD10C51558}"/>
    <hyperlink ref="C99" r:id="rId80" display="https://www.digikey.ca/en/products/detail/sra-soldering-products/AOREF98B/10709771?gclsrc=aw.ds&amp;gad_source=1&amp;gad_campaignid=23152963569&amp;gbraid=0AAAAADrbLlhv9NVBswAKfsUSwBKRciEFR&amp;gclid=Cj0KCQjwteTUBhD4ARIsAEYjs3rJ1Rc9tLFoMxS2tsgjO-fsniVe4x4FxG_MZTTRhzIWpcS8_SZ9pRQaAmLPEALw_wcB" xr:uid="{0BFD3327-2C0A-4BA7-93ED-1281A571E3DB}"/>
    <hyperlink ref="C100" r:id="rId81" display="https://a.co/d/03NCBmEE" xr:uid="{E6C0EE5F-A65B-4E6F-96B4-E3082C90735C}"/>
    <hyperlink ref="C101" r:id="rId82" display="https://a.co/d/08ZCUPU4" xr:uid="{1CA6492C-06CE-4E1A-A205-429E5B46906C}"/>
    <hyperlink ref="C102" r:id="rId83" display="https://a.co/d/0htuEpDs" xr:uid="{82765FCC-340B-4A64-A5C7-5CB180ED0816}"/>
    <hyperlink ref="C103" r:id="rId84" display="https://a.co/d/01ONxOAg" xr:uid="{160B84CA-F999-4DB0-B478-9958259AA2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 Kassahun</dc:creator>
  <cp:lastModifiedBy>Haile Kassahun</cp:lastModifiedBy>
  <dcterms:created xsi:type="dcterms:W3CDTF">2026-09-10T02:10:30Z</dcterms:created>
  <dcterms:modified xsi:type="dcterms:W3CDTF">2026-09-10T02:30:54Z</dcterms:modified>
</cp:coreProperties>
</file>